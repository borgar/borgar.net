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orgar/Spreadsheets/"/>
    </mc:Choice>
  </mc:AlternateContent>
  <xr:revisionPtr revIDLastSave="0" documentId="13_ncr:1_{AECE7B95-6589-1F48-9551-334410EF7E36}" xr6:coauthVersionLast="47" xr6:coauthVersionMax="47" xr10:uidLastSave="{00000000-0000-0000-0000-000000000000}"/>
  <bookViews>
    <workbookView xWindow="15260" yWindow="500" windowWidth="31320" windowHeight="27120" xr2:uid="{9ED2F186-6909-1840-9CA5-B8282A1A30DC}"/>
  </bookViews>
  <sheets>
    <sheet name="UI" sheetId="2" r:id="rId1"/>
    <sheet name="Mobs" sheetId="1" r:id="rId2"/>
    <sheet name="Common" sheetId="7" r:id="rId3"/>
    <sheet name="Falling" sheetId="4" r:id="rId4"/>
    <sheet name="Measured" sheetId="6" r:id="rId5"/>
    <sheet name="Anvil" sheetId="5" r:id="rId6"/>
    <sheet name="Hearts" sheetId="8" r:id="rId7"/>
  </sheets>
  <definedNames>
    <definedName name="health">UI!$C$2</definedName>
    <definedName name="MAX0">_xlfn.LAMBDA(_xlpm.a,IF(_xlpm.a&lt;=0,0,_xlpm.a))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8" l="1" a="1"/>
  <c r="H2" i="8" s="1"/>
  <c r="G2" i="8" a="1"/>
  <c r="G2" i="8" s="1"/>
  <c r="F2" i="8" a="1"/>
  <c r="F2" i="8" s="1"/>
  <c r="E2" i="8" a="1"/>
  <c r="E2" i="8" s="1"/>
  <c r="B2" i="2"/>
  <c r="C15" i="2" s="1" a="1"/>
  <c r="C15" i="2" s="1"/>
  <c r="F74" i="1"/>
  <c r="G2" i="4" a="1"/>
  <c r="G2" i="4" s="1"/>
  <c r="I2" i="4" a="1"/>
  <c r="I2" i="4" s="1"/>
  <c r="K2" i="4" a="1"/>
  <c r="K2" i="4" s="1"/>
  <c r="J2" i="4" a="1"/>
  <c r="J2" i="4" s="1"/>
  <c r="H2" i="4" a="1"/>
  <c r="H2" i="4" s="1"/>
  <c r="B2" i="4" a="1"/>
  <c r="B2" i="4" s="1"/>
  <c r="A2" i="4" a="1"/>
  <c r="A2" i="4" s="1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F4" i="1"/>
  <c r="F30" i="1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2" i="8"/>
  <c r="C13" i="8"/>
  <c r="C14" i="8"/>
  <c r="C10" i="8"/>
  <c r="C11" i="8"/>
  <c r="C8" i="8"/>
  <c r="C9" i="8"/>
  <c r="C6" i="8"/>
  <c r="C7" i="8"/>
  <c r="C5" i="8"/>
  <c r="C4" i="8"/>
  <c r="F73" i="1"/>
  <c r="C2" i="2" l="1" a="1"/>
  <c r="C2" i="2" s="1"/>
  <c r="B17" i="2" s="1" a="1"/>
  <c r="B17" i="2" s="1"/>
  <c r="E2" i="2" a="1"/>
  <c r="E2" i="2" s="1"/>
  <c r="F72" i="1"/>
  <c r="F34" i="1"/>
  <c r="F38" i="1"/>
  <c r="F43" i="1"/>
  <c r="F19" i="1"/>
  <c r="F68" i="1"/>
  <c r="F56" i="1"/>
  <c r="F53" i="1"/>
  <c r="F13" i="1"/>
  <c r="F18" i="1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A12" i="2"/>
  <c r="C13" i="2" l="1"/>
  <c r="B5" i="2"/>
  <c r="C5" i="2" s="1"/>
  <c r="A3" i="5"/>
  <c r="B3" i="5" s="1"/>
  <c r="D3" i="5" s="1"/>
  <c r="A4" i="5"/>
  <c r="A5" i="5"/>
  <c r="A6" i="5"/>
  <c r="A7" i="5"/>
  <c r="A8" i="5"/>
  <c r="B8" i="5" s="1"/>
  <c r="D8" i="5" s="1"/>
  <c r="A9" i="5"/>
  <c r="C9" i="5" s="1"/>
  <c r="A10" i="5"/>
  <c r="C10" i="5" s="1"/>
  <c r="A11" i="5"/>
  <c r="B11" i="5" s="1"/>
  <c r="D11" i="5" s="1"/>
  <c r="A12" i="5"/>
  <c r="A13" i="5"/>
  <c r="A14" i="5"/>
  <c r="A15" i="5"/>
  <c r="A16" i="5"/>
  <c r="B16" i="5" s="1"/>
  <c r="D16" i="5" s="1"/>
  <c r="A17" i="5"/>
  <c r="C17" i="5" s="1"/>
  <c r="A18" i="5"/>
  <c r="C18" i="5" s="1"/>
  <c r="A19" i="5"/>
  <c r="C19" i="5" s="1"/>
  <c r="A20" i="5"/>
  <c r="A21" i="5"/>
  <c r="A22" i="5"/>
  <c r="A23" i="5"/>
  <c r="A24" i="5"/>
  <c r="B24" i="5" s="1"/>
  <c r="D24" i="5" s="1"/>
  <c r="A25" i="5"/>
  <c r="C25" i="5" s="1"/>
  <c r="A26" i="5"/>
  <c r="C26" i="5" s="1"/>
  <c r="A27" i="5"/>
  <c r="B27" i="5" s="1"/>
  <c r="D27" i="5" s="1"/>
  <c r="A28" i="5"/>
  <c r="A29" i="5"/>
  <c r="A30" i="5"/>
  <c r="A31" i="5"/>
  <c r="A32" i="5"/>
  <c r="C32" i="5" s="1"/>
  <c r="A33" i="5"/>
  <c r="C33" i="5" s="1"/>
  <c r="A34" i="5"/>
  <c r="C34" i="5" s="1"/>
  <c r="A35" i="5"/>
  <c r="B35" i="5" s="1"/>
  <c r="D35" i="5" s="1"/>
  <c r="A36" i="5"/>
  <c r="A37" i="5"/>
  <c r="A38" i="5"/>
  <c r="A39" i="5"/>
  <c r="A40" i="5"/>
  <c r="C40" i="5" s="1"/>
  <c r="A41" i="5"/>
  <c r="C41" i="5" s="1"/>
  <c r="A42" i="5"/>
  <c r="C42" i="5" s="1"/>
  <c r="A43" i="5"/>
  <c r="C43" i="5" s="1"/>
  <c r="A44" i="5"/>
  <c r="A45" i="5"/>
  <c r="A46" i="5"/>
  <c r="A47" i="5"/>
  <c r="A48" i="5"/>
  <c r="B48" i="5" s="1"/>
  <c r="D48" i="5" s="1"/>
  <c r="A49" i="5"/>
  <c r="C49" i="5" s="1"/>
  <c r="A50" i="5"/>
  <c r="C50" i="5" s="1"/>
  <c r="A51" i="5"/>
  <c r="C51" i="5" s="1"/>
  <c r="A52" i="5"/>
  <c r="A53" i="5"/>
  <c r="A54" i="5"/>
  <c r="A55" i="5"/>
  <c r="A56" i="5"/>
  <c r="B56" i="5" s="1"/>
  <c r="D56" i="5" s="1"/>
  <c r="A57" i="5"/>
  <c r="B57" i="5" s="1"/>
  <c r="D57" i="5" s="1"/>
  <c r="A58" i="5"/>
  <c r="B58" i="5" s="1"/>
  <c r="D58" i="5" s="1"/>
  <c r="A59" i="5"/>
  <c r="B59" i="5" s="1"/>
  <c r="D59" i="5" s="1"/>
  <c r="A60" i="5"/>
  <c r="A61" i="5"/>
  <c r="A62" i="5"/>
  <c r="A63" i="5"/>
  <c r="A64" i="5"/>
  <c r="B64" i="5" s="1"/>
  <c r="D64" i="5" s="1"/>
  <c r="A65" i="5"/>
  <c r="A66" i="5"/>
  <c r="B66" i="5" s="1"/>
  <c r="D66" i="5" s="1"/>
  <c r="A67" i="5"/>
  <c r="C67" i="5" s="1"/>
  <c r="A68" i="5"/>
  <c r="A69" i="5"/>
  <c r="A70" i="5"/>
  <c r="A71" i="5"/>
  <c r="A72" i="5"/>
  <c r="B72" i="5" s="1"/>
  <c r="D72" i="5" s="1"/>
  <c r="A73" i="5"/>
  <c r="C73" i="5" s="1"/>
  <c r="A74" i="5"/>
  <c r="B74" i="5" s="1"/>
  <c r="D74" i="5" s="1"/>
  <c r="A75" i="5"/>
  <c r="B75" i="5" s="1"/>
  <c r="D75" i="5" s="1"/>
  <c r="A76" i="5"/>
  <c r="A77" i="5"/>
  <c r="A78" i="5"/>
  <c r="A79" i="5"/>
  <c r="A80" i="5"/>
  <c r="B80" i="5" s="1"/>
  <c r="D80" i="5" s="1"/>
  <c r="A81" i="5"/>
  <c r="B81" i="5" s="1"/>
  <c r="D81" i="5" s="1"/>
  <c r="A82" i="5"/>
  <c r="B82" i="5" s="1"/>
  <c r="D82" i="5" s="1"/>
  <c r="A83" i="5"/>
  <c r="B83" i="5" s="1"/>
  <c r="D83" i="5" s="1"/>
  <c r="A84" i="5"/>
  <c r="A85" i="5"/>
  <c r="A86" i="5"/>
  <c r="A87" i="5"/>
  <c r="A88" i="5"/>
  <c r="B88" i="5" s="1"/>
  <c r="D88" i="5" s="1"/>
  <c r="A89" i="5"/>
  <c r="B89" i="5" s="1"/>
  <c r="D89" i="5" s="1"/>
  <c r="A90" i="5"/>
  <c r="B90" i="5" s="1"/>
  <c r="D90" i="5" s="1"/>
  <c r="A91" i="5"/>
  <c r="B91" i="5" s="1"/>
  <c r="D91" i="5" s="1"/>
  <c r="A92" i="5"/>
  <c r="A93" i="5"/>
  <c r="A94" i="5"/>
  <c r="A95" i="5"/>
  <c r="A96" i="5"/>
  <c r="B96" i="5" s="1"/>
  <c r="D96" i="5" s="1"/>
  <c r="A97" i="5"/>
  <c r="B97" i="5" s="1"/>
  <c r="D97" i="5" s="1"/>
  <c r="A98" i="5"/>
  <c r="B98" i="5" s="1"/>
  <c r="D98" i="5" s="1"/>
  <c r="A99" i="5"/>
  <c r="B99" i="5" s="1"/>
  <c r="D99" i="5" s="1"/>
  <c r="A100" i="5"/>
  <c r="A101" i="5"/>
  <c r="A102" i="5"/>
  <c r="A103" i="5"/>
  <c r="A104" i="5"/>
  <c r="B104" i="5" s="1"/>
  <c r="A105" i="5"/>
  <c r="A106" i="5"/>
  <c r="B106" i="5" s="1"/>
  <c r="D106" i="5" s="1"/>
  <c r="A107" i="5"/>
  <c r="B107" i="5" s="1"/>
  <c r="D107" i="5" s="1"/>
  <c r="A108" i="5"/>
  <c r="A109" i="5"/>
  <c r="A110" i="5"/>
  <c r="A111" i="5"/>
  <c r="A112" i="5"/>
  <c r="A113" i="5"/>
  <c r="B113" i="5" s="1"/>
  <c r="D113" i="5" s="1"/>
  <c r="A114" i="5"/>
  <c r="B114" i="5" s="1"/>
  <c r="D114" i="5" s="1"/>
  <c r="A115" i="5"/>
  <c r="B115" i="5" s="1"/>
  <c r="D115" i="5" s="1"/>
  <c r="A116" i="5"/>
  <c r="A117" i="5"/>
  <c r="A118" i="5"/>
  <c r="A119" i="5"/>
  <c r="A120" i="5"/>
  <c r="B120" i="5" s="1"/>
  <c r="D120" i="5" s="1"/>
  <c r="A121" i="5"/>
  <c r="B121" i="5" s="1"/>
  <c r="D121" i="5" s="1"/>
  <c r="A122" i="5"/>
  <c r="B122" i="5" s="1"/>
  <c r="D122" i="5" s="1"/>
  <c r="A123" i="5"/>
  <c r="B123" i="5" s="1"/>
  <c r="D123" i="5" s="1"/>
  <c r="A124" i="5"/>
  <c r="A125" i="5"/>
  <c r="A126" i="5"/>
  <c r="A127" i="5"/>
  <c r="A128" i="5"/>
  <c r="B128" i="5" s="1"/>
  <c r="D128" i="5" s="1"/>
  <c r="A129" i="5"/>
  <c r="C129" i="5" s="1"/>
  <c r="A130" i="5"/>
  <c r="B130" i="5" s="1"/>
  <c r="D130" i="5" s="1"/>
  <c r="A131" i="5"/>
  <c r="B131" i="5" s="1"/>
  <c r="D131" i="5" s="1"/>
  <c r="A132" i="5"/>
  <c r="A133" i="5"/>
  <c r="A134" i="5"/>
  <c r="A135" i="5"/>
  <c r="A136" i="5"/>
  <c r="B136" i="5" s="1"/>
  <c r="D136" i="5" s="1"/>
  <c r="A137" i="5"/>
  <c r="A138" i="5"/>
  <c r="A139" i="5"/>
  <c r="B139" i="5" s="1"/>
  <c r="D139" i="5" s="1"/>
  <c r="A140" i="5"/>
  <c r="A141" i="5"/>
  <c r="A142" i="5"/>
  <c r="A143" i="5"/>
  <c r="A144" i="5"/>
  <c r="B144" i="5" s="1"/>
  <c r="D144" i="5" s="1"/>
  <c r="A145" i="5"/>
  <c r="A146" i="5"/>
  <c r="B146" i="5" s="1"/>
  <c r="D146" i="5" s="1"/>
  <c r="A147" i="5"/>
  <c r="B147" i="5" s="1"/>
  <c r="D147" i="5" s="1"/>
  <c r="A148" i="5"/>
  <c r="A149" i="5"/>
  <c r="A150" i="5"/>
  <c r="A151" i="5"/>
  <c r="A152" i="5"/>
  <c r="B152" i="5" s="1"/>
  <c r="D152" i="5" s="1"/>
  <c r="A153" i="5"/>
  <c r="B153" i="5" s="1"/>
  <c r="D153" i="5" s="1"/>
  <c r="A154" i="5"/>
  <c r="B154" i="5" s="1"/>
  <c r="D154" i="5" s="1"/>
  <c r="A155" i="5"/>
  <c r="B155" i="5" s="1"/>
  <c r="D155" i="5" s="1"/>
  <c r="A156" i="5"/>
  <c r="A157" i="5"/>
  <c r="A158" i="5"/>
  <c r="A159" i="5"/>
  <c r="A160" i="5"/>
  <c r="B160" i="5" s="1"/>
  <c r="D160" i="5" s="1"/>
  <c r="A161" i="5"/>
  <c r="B161" i="5" s="1"/>
  <c r="D161" i="5" s="1"/>
  <c r="A162" i="5"/>
  <c r="B162" i="5" s="1"/>
  <c r="D162" i="5" s="1"/>
  <c r="A163" i="5"/>
  <c r="B163" i="5" s="1"/>
  <c r="D163" i="5" s="1"/>
  <c r="A164" i="5"/>
  <c r="A165" i="5"/>
  <c r="A166" i="5"/>
  <c r="A167" i="5"/>
  <c r="A168" i="5"/>
  <c r="B168" i="5" s="1"/>
  <c r="D168" i="5" s="1"/>
  <c r="A169" i="5"/>
  <c r="B169" i="5" s="1"/>
  <c r="D169" i="5" s="1"/>
  <c r="A170" i="5"/>
  <c r="B170" i="5" s="1"/>
  <c r="D170" i="5" s="1"/>
  <c r="A171" i="5"/>
  <c r="B171" i="5" s="1"/>
  <c r="D171" i="5" s="1"/>
  <c r="A172" i="5"/>
  <c r="A173" i="5"/>
  <c r="A174" i="5"/>
  <c r="A175" i="5"/>
  <c r="A176" i="5"/>
  <c r="B176" i="5" s="1"/>
  <c r="D176" i="5" s="1"/>
  <c r="A177" i="5"/>
  <c r="A178" i="5"/>
  <c r="B178" i="5" s="1"/>
  <c r="D178" i="5" s="1"/>
  <c r="A179" i="5"/>
  <c r="C179" i="5" s="1"/>
  <c r="A180" i="5"/>
  <c r="A181" i="5"/>
  <c r="A182" i="5"/>
  <c r="A183" i="5"/>
  <c r="A184" i="5"/>
  <c r="B184" i="5" s="1"/>
  <c r="D184" i="5" s="1"/>
  <c r="A185" i="5"/>
  <c r="C185" i="5" s="1"/>
  <c r="A186" i="5"/>
  <c r="B186" i="5" s="1"/>
  <c r="D186" i="5" s="1"/>
  <c r="A187" i="5"/>
  <c r="C187" i="5" s="1"/>
  <c r="A188" i="5"/>
  <c r="A189" i="5"/>
  <c r="A190" i="5"/>
  <c r="A191" i="5"/>
  <c r="A192" i="5"/>
  <c r="B192" i="5" s="1"/>
  <c r="A193" i="5"/>
  <c r="B193" i="5" s="1"/>
  <c r="D193" i="5" s="1"/>
  <c r="A194" i="5"/>
  <c r="B194" i="5" s="1"/>
  <c r="D194" i="5" s="1"/>
  <c r="A195" i="5"/>
  <c r="B195" i="5" s="1"/>
  <c r="D195" i="5" s="1"/>
  <c r="A196" i="5"/>
  <c r="A197" i="5"/>
  <c r="A198" i="5"/>
  <c r="A199" i="5"/>
  <c r="A200" i="5"/>
  <c r="A201" i="5"/>
  <c r="B201" i="5" s="1"/>
  <c r="D201" i="5" s="1"/>
  <c r="A202" i="5"/>
  <c r="B202" i="5" s="1"/>
  <c r="D202" i="5" s="1"/>
  <c r="A203" i="5"/>
  <c r="B203" i="5" s="1"/>
  <c r="D203" i="5" s="1"/>
  <c r="A204" i="5"/>
  <c r="A205" i="5"/>
  <c r="A206" i="5"/>
  <c r="A207" i="5"/>
  <c r="A208" i="5"/>
  <c r="B208" i="5" s="1"/>
  <c r="D208" i="5" s="1"/>
  <c r="A209" i="5"/>
  <c r="B209" i="5" s="1"/>
  <c r="D209" i="5" s="1"/>
  <c r="A210" i="5"/>
  <c r="C210" i="5" s="1"/>
  <c r="A211" i="5"/>
  <c r="B211" i="5" s="1"/>
  <c r="D211" i="5" s="1"/>
  <c r="A212" i="5"/>
  <c r="A213" i="5"/>
  <c r="A214" i="5"/>
  <c r="A215" i="5"/>
  <c r="A216" i="5"/>
  <c r="B216" i="5" s="1"/>
  <c r="D216" i="5" s="1"/>
  <c r="A217" i="5"/>
  <c r="B217" i="5" s="1"/>
  <c r="D217" i="5" s="1"/>
  <c r="A218" i="5"/>
  <c r="B218" i="5" s="1"/>
  <c r="D218" i="5" s="1"/>
  <c r="A219" i="5"/>
  <c r="B219" i="5" s="1"/>
  <c r="D219" i="5" s="1"/>
  <c r="A220" i="5"/>
  <c r="A221" i="5"/>
  <c r="A222" i="5"/>
  <c r="A223" i="5"/>
  <c r="A224" i="5"/>
  <c r="B224" i="5" s="1"/>
  <c r="D224" i="5" s="1"/>
  <c r="A225" i="5"/>
  <c r="B225" i="5" s="1"/>
  <c r="D225" i="5" s="1"/>
  <c r="A226" i="5"/>
  <c r="B226" i="5" s="1"/>
  <c r="D226" i="5" s="1"/>
  <c r="A227" i="5"/>
  <c r="B227" i="5" s="1"/>
  <c r="D227" i="5" s="1"/>
  <c r="A228" i="5"/>
  <c r="A229" i="5"/>
  <c r="A230" i="5"/>
  <c r="A231" i="5"/>
  <c r="A232" i="5"/>
  <c r="C232" i="5" s="1"/>
  <c r="A233" i="5"/>
  <c r="B233" i="5" s="1"/>
  <c r="D233" i="5" s="1"/>
  <c r="A234" i="5"/>
  <c r="B234" i="5" s="1"/>
  <c r="D234" i="5" s="1"/>
  <c r="A235" i="5"/>
  <c r="B235" i="5" s="1"/>
  <c r="D235" i="5" s="1"/>
  <c r="A236" i="5"/>
  <c r="A237" i="5"/>
  <c r="A238" i="5"/>
  <c r="A239" i="5"/>
  <c r="A240" i="5"/>
  <c r="B240" i="5" s="1"/>
  <c r="D240" i="5" s="1"/>
  <c r="A241" i="5"/>
  <c r="B241" i="5" s="1"/>
  <c r="D241" i="5" s="1"/>
  <c r="A242" i="5"/>
  <c r="A243" i="5"/>
  <c r="B243" i="5" s="1"/>
  <c r="D243" i="5" s="1"/>
  <c r="A244" i="5"/>
  <c r="A245" i="5"/>
  <c r="A246" i="5"/>
  <c r="A247" i="5"/>
  <c r="A248" i="5"/>
  <c r="B248" i="5" s="1"/>
  <c r="D248" i="5" s="1"/>
  <c r="A249" i="5"/>
  <c r="B249" i="5" s="1"/>
  <c r="D249" i="5" s="1"/>
  <c r="A250" i="5"/>
  <c r="A251" i="5"/>
  <c r="B251" i="5" s="1"/>
  <c r="D251" i="5" s="1"/>
  <c r="A252" i="5"/>
  <c r="A253" i="5"/>
  <c r="A254" i="5"/>
  <c r="A255" i="5"/>
  <c r="A256" i="5"/>
  <c r="B256" i="5" s="1"/>
  <c r="D256" i="5" s="1"/>
  <c r="A257" i="5"/>
  <c r="B257" i="5" s="1"/>
  <c r="D257" i="5" s="1"/>
  <c r="A258" i="5"/>
  <c r="B258" i="5" s="1"/>
  <c r="D258" i="5" s="1"/>
  <c r="A259" i="5"/>
  <c r="B259" i="5" s="1"/>
  <c r="D259" i="5" s="1"/>
  <c r="A260" i="5"/>
  <c r="A261" i="5"/>
  <c r="A262" i="5"/>
  <c r="A263" i="5"/>
  <c r="A264" i="5"/>
  <c r="B264" i="5" s="1"/>
  <c r="D264" i="5" s="1"/>
  <c r="A265" i="5"/>
  <c r="B265" i="5" s="1"/>
  <c r="D265" i="5" s="1"/>
  <c r="A266" i="5"/>
  <c r="B266" i="5" s="1"/>
  <c r="D266" i="5" s="1"/>
  <c r="A267" i="5"/>
  <c r="B267" i="5" s="1"/>
  <c r="D267" i="5" s="1"/>
  <c r="A268" i="5"/>
  <c r="A269" i="5"/>
  <c r="A270" i="5"/>
  <c r="A271" i="5"/>
  <c r="A272" i="5"/>
  <c r="B272" i="5" s="1"/>
  <c r="D272" i="5" s="1"/>
  <c r="A273" i="5"/>
  <c r="B273" i="5" s="1"/>
  <c r="D273" i="5" s="1"/>
  <c r="A274" i="5"/>
  <c r="B274" i="5" s="1"/>
  <c r="D274" i="5" s="1"/>
  <c r="A275" i="5"/>
  <c r="B275" i="5" s="1"/>
  <c r="D275" i="5" s="1"/>
  <c r="A276" i="5"/>
  <c r="A277" i="5"/>
  <c r="A278" i="5"/>
  <c r="A279" i="5"/>
  <c r="A280" i="5"/>
  <c r="B280" i="5" s="1"/>
  <c r="D280" i="5" s="1"/>
  <c r="A281" i="5"/>
  <c r="A282" i="5"/>
  <c r="B282" i="5" s="1"/>
  <c r="D282" i="5" s="1"/>
  <c r="A283" i="5"/>
  <c r="A284" i="5"/>
  <c r="A285" i="5"/>
  <c r="A286" i="5"/>
  <c r="A287" i="5"/>
  <c r="A288" i="5"/>
  <c r="B288" i="5" s="1"/>
  <c r="D288" i="5" s="1"/>
  <c r="A289" i="5"/>
  <c r="A290" i="5"/>
  <c r="B290" i="5" s="1"/>
  <c r="D290" i="5" s="1"/>
  <c r="A291" i="5"/>
  <c r="A292" i="5"/>
  <c r="A293" i="5"/>
  <c r="A294" i="5"/>
  <c r="A295" i="5"/>
  <c r="A296" i="5"/>
  <c r="A297" i="5"/>
  <c r="A298" i="5"/>
  <c r="B298" i="5" s="1"/>
  <c r="D298" i="5" s="1"/>
  <c r="A299" i="5"/>
  <c r="A300" i="5"/>
  <c r="A301" i="5"/>
  <c r="A302" i="5"/>
  <c r="A303" i="5"/>
  <c r="A304" i="5"/>
  <c r="C304" i="5" s="1"/>
  <c r="A305" i="5"/>
  <c r="A306" i="5"/>
  <c r="B306" i="5" s="1"/>
  <c r="D306" i="5" s="1"/>
  <c r="A307" i="5"/>
  <c r="A308" i="5"/>
  <c r="A309" i="5"/>
  <c r="A310" i="5"/>
  <c r="A311" i="5"/>
  <c r="A312" i="5"/>
  <c r="B312" i="5" s="1"/>
  <c r="D312" i="5" s="1"/>
  <c r="A313" i="5"/>
  <c r="A314" i="5"/>
  <c r="B314" i="5" s="1"/>
  <c r="D314" i="5" s="1"/>
  <c r="A315" i="5"/>
  <c r="A316" i="5"/>
  <c r="A317" i="5"/>
  <c r="A318" i="5"/>
  <c r="A319" i="5"/>
  <c r="A320" i="5"/>
  <c r="C320" i="5" s="1"/>
  <c r="A321" i="5"/>
  <c r="A322" i="5"/>
  <c r="B322" i="5" s="1"/>
  <c r="D322" i="5" s="1"/>
  <c r="A323" i="5"/>
  <c r="A324" i="5"/>
  <c r="A325" i="5"/>
  <c r="A326" i="5"/>
  <c r="A327" i="5"/>
  <c r="A328" i="5"/>
  <c r="B328" i="5" s="1"/>
  <c r="D328" i="5" s="1"/>
  <c r="A329" i="5"/>
  <c r="A330" i="5"/>
  <c r="B330" i="5" s="1"/>
  <c r="D330" i="5" s="1"/>
  <c r="A331" i="5"/>
  <c r="A332" i="5"/>
  <c r="A333" i="5"/>
  <c r="A334" i="5"/>
  <c r="A335" i="5"/>
  <c r="A336" i="5"/>
  <c r="B336" i="5" s="1"/>
  <c r="D336" i="5" s="1"/>
  <c r="A337" i="5"/>
  <c r="A338" i="5"/>
  <c r="A339" i="5"/>
  <c r="A340" i="5"/>
  <c r="A341" i="5"/>
  <c r="A342" i="5"/>
  <c r="A343" i="5"/>
  <c r="A344" i="5"/>
  <c r="B344" i="5" s="1"/>
  <c r="D344" i="5" s="1"/>
  <c r="A345" i="5"/>
  <c r="A346" i="5"/>
  <c r="B346" i="5" s="1"/>
  <c r="D346" i="5" s="1"/>
  <c r="A347" i="5"/>
  <c r="A348" i="5"/>
  <c r="A349" i="5"/>
  <c r="A350" i="5"/>
  <c r="A351" i="5"/>
  <c r="A352" i="5"/>
  <c r="B352" i="5" s="1"/>
  <c r="D352" i="5" s="1"/>
  <c r="A353" i="5"/>
  <c r="A354" i="5"/>
  <c r="B354" i="5" s="1"/>
  <c r="D354" i="5" s="1"/>
  <c r="A355" i="5"/>
  <c r="B355" i="5" s="1"/>
  <c r="D355" i="5" s="1"/>
  <c r="A356" i="5"/>
  <c r="A357" i="5"/>
  <c r="A358" i="5"/>
  <c r="A359" i="5"/>
  <c r="A360" i="5"/>
  <c r="C360" i="5" s="1"/>
  <c r="A361" i="5"/>
  <c r="B361" i="5" s="1"/>
  <c r="D361" i="5" s="1"/>
  <c r="A362" i="5"/>
  <c r="B362" i="5" s="1"/>
  <c r="D362" i="5" s="1"/>
  <c r="A363" i="5"/>
  <c r="C363" i="5" s="1"/>
  <c r="A364" i="5"/>
  <c r="A365" i="5"/>
  <c r="A366" i="5"/>
  <c r="A367" i="5"/>
  <c r="A368" i="5"/>
  <c r="C368" i="5" s="1"/>
  <c r="A369" i="5"/>
  <c r="B369" i="5" s="1"/>
  <c r="D369" i="5" s="1"/>
  <c r="A370" i="5"/>
  <c r="B370" i="5" s="1"/>
  <c r="D370" i="5" s="1"/>
  <c r="A371" i="5"/>
  <c r="B371" i="5" s="1"/>
  <c r="D371" i="5" s="1"/>
  <c r="A372" i="5"/>
  <c r="A373" i="5"/>
  <c r="A374" i="5"/>
  <c r="A375" i="5"/>
  <c r="A376" i="5"/>
  <c r="C376" i="5" s="1"/>
  <c r="A377" i="5"/>
  <c r="B377" i="5" s="1"/>
  <c r="D377" i="5" s="1"/>
  <c r="A378" i="5"/>
  <c r="B378" i="5" s="1"/>
  <c r="D378" i="5" s="1"/>
  <c r="A379" i="5"/>
  <c r="B379" i="5" s="1"/>
  <c r="D379" i="5" s="1"/>
  <c r="A380" i="5"/>
  <c r="A381" i="5"/>
  <c r="A382" i="5"/>
  <c r="A383" i="5"/>
  <c r="A384" i="5"/>
  <c r="B384" i="5" s="1"/>
  <c r="D384" i="5" s="1"/>
  <c r="A385" i="5"/>
  <c r="A386" i="5"/>
  <c r="B386" i="5" s="1"/>
  <c r="D386" i="5" s="1"/>
  <c r="A387" i="5"/>
  <c r="C387" i="5" s="1"/>
  <c r="A388" i="5"/>
  <c r="A389" i="5"/>
  <c r="A390" i="5"/>
  <c r="A391" i="5"/>
  <c r="A392" i="5"/>
  <c r="C392" i="5" s="1"/>
  <c r="A393" i="5"/>
  <c r="B393" i="5" s="1"/>
  <c r="D393" i="5" s="1"/>
  <c r="A394" i="5"/>
  <c r="C394" i="5" s="1"/>
  <c r="A395" i="5"/>
  <c r="B395" i="5" s="1"/>
  <c r="D395" i="5" s="1"/>
  <c r="A396" i="5"/>
  <c r="A397" i="5"/>
  <c r="A398" i="5"/>
  <c r="A399" i="5"/>
  <c r="A400" i="5"/>
  <c r="B400" i="5" s="1"/>
  <c r="D400" i="5" s="1"/>
  <c r="A401" i="5"/>
  <c r="A402" i="5"/>
  <c r="B402" i="5" s="1"/>
  <c r="D402" i="5" s="1"/>
  <c r="A403" i="5"/>
  <c r="B403" i="5" s="1"/>
  <c r="D403" i="5" s="1"/>
  <c r="A404" i="5"/>
  <c r="A405" i="5"/>
  <c r="A406" i="5"/>
  <c r="B406" i="5" s="1"/>
  <c r="D406" i="5" s="1"/>
  <c r="A407" i="5"/>
  <c r="A408" i="5"/>
  <c r="C408" i="5" s="1"/>
  <c r="A409" i="5"/>
  <c r="B409" i="5" s="1"/>
  <c r="D409" i="5" s="1"/>
  <c r="A410" i="5"/>
  <c r="A411" i="5"/>
  <c r="B411" i="5" s="1"/>
  <c r="D411" i="5" s="1"/>
  <c r="A412" i="5"/>
  <c r="A413" i="5"/>
  <c r="A414" i="5"/>
  <c r="B414" i="5" s="1"/>
  <c r="D414" i="5" s="1"/>
  <c r="A415" i="5"/>
  <c r="A416" i="5"/>
  <c r="B416" i="5" s="1"/>
  <c r="D416" i="5" s="1"/>
  <c r="A417" i="5"/>
  <c r="B417" i="5" s="1"/>
  <c r="D417" i="5" s="1"/>
  <c r="A418" i="5"/>
  <c r="A419" i="5"/>
  <c r="B419" i="5" s="1"/>
  <c r="D419" i="5" s="1"/>
  <c r="A420" i="5"/>
  <c r="A421" i="5"/>
  <c r="A422" i="5"/>
  <c r="A423" i="5"/>
  <c r="A424" i="5"/>
  <c r="C424" i="5" s="1"/>
  <c r="A425" i="5"/>
  <c r="B425" i="5" s="1"/>
  <c r="D425" i="5" s="1"/>
  <c r="A426" i="5"/>
  <c r="A427" i="5"/>
  <c r="B427" i="5" s="1"/>
  <c r="D427" i="5" s="1"/>
  <c r="A428" i="5"/>
  <c r="A429" i="5"/>
  <c r="A430" i="5"/>
  <c r="A431" i="5"/>
  <c r="A432" i="5"/>
  <c r="C432" i="5" s="1"/>
  <c r="A433" i="5"/>
  <c r="B433" i="5" s="1"/>
  <c r="D433" i="5" s="1"/>
  <c r="A434" i="5"/>
  <c r="B434" i="5" s="1"/>
  <c r="D434" i="5" s="1"/>
  <c r="A435" i="5"/>
  <c r="B435" i="5" s="1"/>
  <c r="D435" i="5" s="1"/>
  <c r="A436" i="5"/>
  <c r="A437" i="5"/>
  <c r="A438" i="5"/>
  <c r="C438" i="5" s="1"/>
  <c r="A439" i="5"/>
  <c r="A440" i="5"/>
  <c r="C440" i="5" s="1"/>
  <c r="A441" i="5"/>
  <c r="B441" i="5" s="1"/>
  <c r="D441" i="5" s="1"/>
  <c r="A442" i="5"/>
  <c r="C442" i="5" s="1"/>
  <c r="A443" i="5"/>
  <c r="B443" i="5" s="1"/>
  <c r="D443" i="5" s="1"/>
  <c r="A444" i="5"/>
  <c r="A445" i="5"/>
  <c r="A446" i="5"/>
  <c r="C446" i="5" s="1"/>
  <c r="A447" i="5"/>
  <c r="A448" i="5"/>
  <c r="B448" i="5" s="1"/>
  <c r="D448" i="5" s="1"/>
  <c r="A449" i="5"/>
  <c r="B449" i="5" s="1"/>
  <c r="D449" i="5" s="1"/>
  <c r="A450" i="5"/>
  <c r="A451" i="5"/>
  <c r="B451" i="5" s="1"/>
  <c r="D451" i="5" s="1"/>
  <c r="A452" i="5"/>
  <c r="A453" i="5"/>
  <c r="A454" i="5"/>
  <c r="C454" i="5" s="1"/>
  <c r="A455" i="5"/>
  <c r="A456" i="5"/>
  <c r="B456" i="5" s="1"/>
  <c r="D456" i="5" s="1"/>
  <c r="A457" i="5"/>
  <c r="B457" i="5" s="1"/>
  <c r="D457" i="5" s="1"/>
  <c r="A458" i="5"/>
  <c r="A459" i="5"/>
  <c r="B459" i="5" s="1"/>
  <c r="D459" i="5" s="1"/>
  <c r="A460" i="5"/>
  <c r="A461" i="5"/>
  <c r="A462" i="5"/>
  <c r="A463" i="5"/>
  <c r="A464" i="5"/>
  <c r="B464" i="5" s="1"/>
  <c r="D464" i="5" s="1"/>
  <c r="A465" i="5"/>
  <c r="A466" i="5"/>
  <c r="A467" i="5"/>
  <c r="A468" i="5"/>
  <c r="A469" i="5"/>
  <c r="A470" i="5"/>
  <c r="C470" i="5" s="1"/>
  <c r="A471" i="5"/>
  <c r="A472" i="5"/>
  <c r="C472" i="5" s="1"/>
  <c r="A473" i="5"/>
  <c r="A474" i="5"/>
  <c r="A475" i="5"/>
  <c r="A476" i="5"/>
  <c r="A477" i="5"/>
  <c r="A478" i="5"/>
  <c r="B478" i="5" s="1"/>
  <c r="D478" i="5" s="1"/>
  <c r="A479" i="5"/>
  <c r="A480" i="5"/>
  <c r="C480" i="5" s="1"/>
  <c r="A481" i="5"/>
  <c r="A482" i="5"/>
  <c r="B482" i="5" s="1"/>
  <c r="D482" i="5" s="1"/>
  <c r="A483" i="5"/>
  <c r="A484" i="5"/>
  <c r="A485" i="5"/>
  <c r="A486" i="5"/>
  <c r="A487" i="5"/>
  <c r="A488" i="5"/>
  <c r="C488" i="5" s="1"/>
  <c r="A489" i="5"/>
  <c r="A490" i="5"/>
  <c r="C490" i="5" s="1"/>
  <c r="A491" i="5"/>
  <c r="A492" i="5"/>
  <c r="A493" i="5"/>
  <c r="A494" i="5"/>
  <c r="C494" i="5" s="1"/>
  <c r="A495" i="5"/>
  <c r="A496" i="5"/>
  <c r="C496" i="5" s="1"/>
  <c r="A497" i="5"/>
  <c r="A498" i="5"/>
  <c r="A499" i="5"/>
  <c r="A500" i="5"/>
  <c r="A501" i="5"/>
  <c r="A502" i="5"/>
  <c r="C502" i="5" s="1"/>
  <c r="A503" i="5"/>
  <c r="A504" i="5"/>
  <c r="C504" i="5" s="1"/>
  <c r="A505" i="5"/>
  <c r="A506" i="5"/>
  <c r="A507" i="5"/>
  <c r="A508" i="5"/>
  <c r="A509" i="5"/>
  <c r="A510" i="5"/>
  <c r="A511" i="5"/>
  <c r="A512" i="5"/>
  <c r="C512" i="5" s="1"/>
  <c r="A513" i="5"/>
  <c r="A514" i="5"/>
  <c r="A515" i="5"/>
  <c r="A516" i="5"/>
  <c r="A517" i="5"/>
  <c r="A518" i="5"/>
  <c r="B518" i="5" s="1"/>
  <c r="D518" i="5" s="1"/>
  <c r="A519" i="5"/>
  <c r="A520" i="5"/>
  <c r="C520" i="5" s="1"/>
  <c r="A521" i="5"/>
  <c r="A522" i="5"/>
  <c r="B522" i="5" s="1"/>
  <c r="D522" i="5" s="1"/>
  <c r="A523" i="5"/>
  <c r="A524" i="5"/>
  <c r="A525" i="5"/>
  <c r="A526" i="5"/>
  <c r="B526" i="5" s="1"/>
  <c r="D526" i="5" s="1"/>
  <c r="A527" i="5"/>
  <c r="A528" i="5"/>
  <c r="B528" i="5" s="1"/>
  <c r="D528" i="5" s="1"/>
  <c r="A529" i="5"/>
  <c r="A530" i="5"/>
  <c r="C530" i="5" s="1"/>
  <c r="A531" i="5"/>
  <c r="A532" i="5"/>
  <c r="A533" i="5"/>
  <c r="A534" i="5"/>
  <c r="A535" i="5"/>
  <c r="A536" i="5"/>
  <c r="B536" i="5" s="1"/>
  <c r="D536" i="5" s="1"/>
  <c r="A537" i="5"/>
  <c r="A538" i="5"/>
  <c r="C538" i="5" s="1"/>
  <c r="A539" i="5"/>
  <c r="A540" i="5"/>
  <c r="A541" i="5"/>
  <c r="A542" i="5"/>
  <c r="A543" i="5"/>
  <c r="A544" i="5"/>
  <c r="C544" i="5" s="1"/>
  <c r="A545" i="5"/>
  <c r="A546" i="5"/>
  <c r="C546" i="5" s="1"/>
  <c r="A547" i="5"/>
  <c r="A548" i="5"/>
  <c r="A549" i="5"/>
  <c r="A550" i="5"/>
  <c r="B550" i="5" s="1"/>
  <c r="D550" i="5" s="1"/>
  <c r="A551" i="5"/>
  <c r="A552" i="5"/>
  <c r="B552" i="5" s="1"/>
  <c r="D552" i="5" s="1"/>
  <c r="A553" i="5"/>
  <c r="A554" i="5"/>
  <c r="C554" i="5" s="1"/>
  <c r="A555" i="5"/>
  <c r="A556" i="5"/>
  <c r="A557" i="5"/>
  <c r="A558" i="5"/>
  <c r="B558" i="5" s="1"/>
  <c r="D558" i="5" s="1"/>
  <c r="A559" i="5"/>
  <c r="A560" i="5"/>
  <c r="C560" i="5" s="1"/>
  <c r="A561" i="5"/>
  <c r="A562" i="5"/>
  <c r="C562" i="5" s="1"/>
  <c r="A563" i="5"/>
  <c r="B563" i="5" s="1"/>
  <c r="D563" i="5" s="1"/>
  <c r="A564" i="5"/>
  <c r="A565" i="5"/>
  <c r="A566" i="5"/>
  <c r="C566" i="5" s="1"/>
  <c r="A567" i="5"/>
  <c r="A568" i="5"/>
  <c r="B568" i="5" s="1"/>
  <c r="D568" i="5" s="1"/>
  <c r="A569" i="5"/>
  <c r="B569" i="5" s="1"/>
  <c r="A570" i="5"/>
  <c r="B570" i="5" s="1"/>
  <c r="D570" i="5" s="1"/>
  <c r="A571" i="5"/>
  <c r="B571" i="5" s="1"/>
  <c r="D571" i="5" s="1"/>
  <c r="A572" i="5"/>
  <c r="A573" i="5"/>
  <c r="A574" i="5"/>
  <c r="A575" i="5"/>
  <c r="A576" i="5"/>
  <c r="A577" i="5"/>
  <c r="A578" i="5"/>
  <c r="A579" i="5"/>
  <c r="B579" i="5" s="1"/>
  <c r="D579" i="5" s="1"/>
  <c r="A580" i="5"/>
  <c r="A581" i="5"/>
  <c r="A582" i="5"/>
  <c r="A583" i="5"/>
  <c r="A584" i="5"/>
  <c r="A585" i="5"/>
  <c r="B585" i="5" s="1"/>
  <c r="D585" i="5" s="1"/>
  <c r="A586" i="5"/>
  <c r="A587" i="5"/>
  <c r="B587" i="5" s="1"/>
  <c r="D587" i="5" s="1"/>
  <c r="A588" i="5"/>
  <c r="A589" i="5"/>
  <c r="A590" i="5"/>
  <c r="A591" i="5"/>
  <c r="A592" i="5"/>
  <c r="A593" i="5"/>
  <c r="A594" i="5"/>
  <c r="A595" i="5"/>
  <c r="B595" i="5" s="1"/>
  <c r="D595" i="5" s="1"/>
  <c r="A596" i="5"/>
  <c r="A597" i="5"/>
  <c r="A598" i="5"/>
  <c r="A599" i="5"/>
  <c r="A600" i="5"/>
  <c r="A601" i="5"/>
  <c r="A602" i="5"/>
  <c r="A603" i="5"/>
  <c r="B603" i="5" s="1"/>
  <c r="D603" i="5" s="1"/>
  <c r="A604" i="5"/>
  <c r="A605" i="5"/>
  <c r="A606" i="5"/>
  <c r="A607" i="5"/>
  <c r="A608" i="5"/>
  <c r="A609" i="5"/>
  <c r="C609" i="5" s="1"/>
  <c r="A610" i="5"/>
  <c r="A611" i="5"/>
  <c r="B611" i="5" s="1"/>
  <c r="D611" i="5" s="1"/>
  <c r="A612" i="5"/>
  <c r="A613" i="5"/>
  <c r="A614" i="5"/>
  <c r="C614" i="5" s="1"/>
  <c r="A615" i="5"/>
  <c r="A616" i="5"/>
  <c r="C616" i="5" s="1"/>
  <c r="A617" i="5"/>
  <c r="A618" i="5"/>
  <c r="B618" i="5" s="1"/>
  <c r="D618" i="5" s="1"/>
  <c r="A619" i="5"/>
  <c r="B619" i="5" s="1"/>
  <c r="D619" i="5" s="1"/>
  <c r="A620" i="5"/>
  <c r="A621" i="5"/>
  <c r="A622" i="5"/>
  <c r="A623" i="5"/>
  <c r="A624" i="5"/>
  <c r="C624" i="5" s="1"/>
  <c r="A625" i="5"/>
  <c r="B625" i="5" s="1"/>
  <c r="D625" i="5" s="1"/>
  <c r="A626" i="5"/>
  <c r="A627" i="5"/>
  <c r="C627" i="5" s="1"/>
  <c r="A628" i="5"/>
  <c r="A629" i="5"/>
  <c r="A630" i="5"/>
  <c r="C630" i="5" s="1"/>
  <c r="A631" i="5"/>
  <c r="A632" i="5"/>
  <c r="B632" i="5" s="1"/>
  <c r="D632" i="5" s="1"/>
  <c r="A633" i="5"/>
  <c r="A634" i="5"/>
  <c r="A635" i="5"/>
  <c r="B635" i="5" s="1"/>
  <c r="D635" i="5" s="1"/>
  <c r="A636" i="5"/>
  <c r="A637" i="5"/>
  <c r="A638" i="5"/>
  <c r="A639" i="5"/>
  <c r="A640" i="5"/>
  <c r="C640" i="5" s="1"/>
  <c r="A641" i="5"/>
  <c r="A642" i="5"/>
  <c r="C642" i="5" s="1"/>
  <c r="A643" i="5"/>
  <c r="C643" i="5" s="1"/>
  <c r="A644" i="5"/>
  <c r="A645" i="5"/>
  <c r="A646" i="5"/>
  <c r="A647" i="5"/>
  <c r="A648" i="5"/>
  <c r="B648" i="5" s="1"/>
  <c r="D648" i="5" s="1"/>
  <c r="A649" i="5"/>
  <c r="B649" i="5" s="1"/>
  <c r="D649" i="5" s="1"/>
  <c r="A650" i="5"/>
  <c r="A651" i="5"/>
  <c r="C651" i="5" s="1"/>
  <c r="A652" i="5"/>
  <c r="A653" i="5"/>
  <c r="A654" i="5"/>
  <c r="B654" i="5" s="1"/>
  <c r="D654" i="5" s="1"/>
  <c r="A655" i="5"/>
  <c r="A656" i="5"/>
  <c r="C656" i="5" s="1"/>
  <c r="A657" i="5"/>
  <c r="A658" i="5"/>
  <c r="B658" i="5" s="1"/>
  <c r="D658" i="5" s="1"/>
  <c r="A659" i="5"/>
  <c r="B659" i="5" s="1"/>
  <c r="D659" i="5" s="1"/>
  <c r="A660" i="5"/>
  <c r="A661" i="5"/>
  <c r="A662" i="5"/>
  <c r="B662" i="5" s="1"/>
  <c r="D662" i="5" s="1"/>
  <c r="A663" i="5"/>
  <c r="A664" i="5"/>
  <c r="B664" i="5" s="1"/>
  <c r="D664" i="5" s="1"/>
  <c r="A665" i="5"/>
  <c r="B665" i="5" s="1"/>
  <c r="D665" i="5" s="1"/>
  <c r="A666" i="5"/>
  <c r="A667" i="5"/>
  <c r="C667" i="5" s="1"/>
  <c r="A668" i="5"/>
  <c r="A669" i="5"/>
  <c r="A670" i="5"/>
  <c r="B670" i="5" s="1"/>
  <c r="D670" i="5" s="1"/>
  <c r="A671" i="5"/>
  <c r="A672" i="5"/>
  <c r="B672" i="5" s="1"/>
  <c r="D672" i="5" s="1"/>
  <c r="A673" i="5"/>
  <c r="A674" i="5"/>
  <c r="B674" i="5" s="1"/>
  <c r="D674" i="5" s="1"/>
  <c r="A675" i="5"/>
  <c r="B675" i="5" s="1"/>
  <c r="D675" i="5" s="1"/>
  <c r="A676" i="5"/>
  <c r="A677" i="5"/>
  <c r="A678" i="5"/>
  <c r="A679" i="5"/>
  <c r="A680" i="5"/>
  <c r="C680" i="5" s="1"/>
  <c r="A681" i="5"/>
  <c r="B681" i="5" s="1"/>
  <c r="D681" i="5" s="1"/>
  <c r="A682" i="5"/>
  <c r="A683" i="5"/>
  <c r="C683" i="5" s="1"/>
  <c r="A684" i="5"/>
  <c r="A685" i="5"/>
  <c r="A686" i="5"/>
  <c r="B686" i="5" s="1"/>
  <c r="D686" i="5" s="1"/>
  <c r="A687" i="5"/>
  <c r="A688" i="5"/>
  <c r="C688" i="5" s="1"/>
  <c r="A689" i="5"/>
  <c r="A690" i="5"/>
  <c r="B690" i="5" s="1"/>
  <c r="D690" i="5" s="1"/>
  <c r="A691" i="5"/>
  <c r="C691" i="5" s="1"/>
  <c r="A692" i="5"/>
  <c r="A693" i="5"/>
  <c r="A694" i="5"/>
  <c r="A695" i="5"/>
  <c r="A696" i="5"/>
  <c r="C696" i="5" s="1"/>
  <c r="A697" i="5"/>
  <c r="A698" i="5"/>
  <c r="A699" i="5"/>
  <c r="C699" i="5" s="1"/>
  <c r="A700" i="5"/>
  <c r="A701" i="5"/>
  <c r="A702" i="5"/>
  <c r="B702" i="5" s="1"/>
  <c r="D702" i="5" s="1"/>
  <c r="A703" i="5"/>
  <c r="A704" i="5"/>
  <c r="B704" i="5" s="1"/>
  <c r="D704" i="5" s="1"/>
  <c r="A705" i="5"/>
  <c r="C705" i="5" s="1"/>
  <c r="A706" i="5"/>
  <c r="C706" i="5" s="1"/>
  <c r="A707" i="5"/>
  <c r="C707" i="5" s="1"/>
  <c r="A708" i="5"/>
  <c r="A709" i="5"/>
  <c r="A710" i="5"/>
  <c r="A711" i="5"/>
  <c r="A712" i="5"/>
  <c r="C712" i="5" s="1"/>
  <c r="A713" i="5"/>
  <c r="A714" i="5"/>
  <c r="A715" i="5"/>
  <c r="C715" i="5" s="1"/>
  <c r="A716" i="5"/>
  <c r="A717" i="5"/>
  <c r="A718" i="5"/>
  <c r="B718" i="5" s="1"/>
  <c r="D718" i="5" s="1"/>
  <c r="A719" i="5"/>
  <c r="A720" i="5"/>
  <c r="B720" i="5" s="1"/>
  <c r="D720" i="5" s="1"/>
  <c r="A721" i="5"/>
  <c r="C721" i="5" s="1"/>
  <c r="A722" i="5"/>
  <c r="C722" i="5" s="1"/>
  <c r="A723" i="5"/>
  <c r="C723" i="5" s="1"/>
  <c r="A724" i="5"/>
  <c r="A725" i="5"/>
  <c r="A726" i="5"/>
  <c r="A727" i="5"/>
  <c r="A728" i="5"/>
  <c r="C728" i="5" s="1"/>
  <c r="A729" i="5"/>
  <c r="A730" i="5"/>
  <c r="A731" i="5"/>
  <c r="C731" i="5" s="1"/>
  <c r="A732" i="5"/>
  <c r="A733" i="5"/>
  <c r="A734" i="5"/>
  <c r="B734" i="5" s="1"/>
  <c r="D734" i="5" s="1"/>
  <c r="A735" i="5"/>
  <c r="A736" i="5"/>
  <c r="B736" i="5" s="1"/>
  <c r="D736" i="5" s="1"/>
  <c r="A737" i="5"/>
  <c r="C737" i="5" s="1"/>
  <c r="A738" i="5"/>
  <c r="C738" i="5" s="1"/>
  <c r="A739" i="5"/>
  <c r="C739" i="5" s="1"/>
  <c r="A740" i="5"/>
  <c r="A741" i="5"/>
  <c r="A742" i="5"/>
  <c r="A743" i="5"/>
  <c r="A744" i="5"/>
  <c r="B744" i="5" s="1"/>
  <c r="D744" i="5" s="1"/>
  <c r="A745" i="5"/>
  <c r="A746" i="5"/>
  <c r="A747" i="5"/>
  <c r="C747" i="5" s="1"/>
  <c r="A748" i="5"/>
  <c r="A749" i="5"/>
  <c r="A750" i="5"/>
  <c r="B750" i="5" s="1"/>
  <c r="D750" i="5" s="1"/>
  <c r="A751" i="5"/>
  <c r="A752" i="5"/>
  <c r="B752" i="5" s="1"/>
  <c r="D752" i="5" s="1"/>
  <c r="A753" i="5"/>
  <c r="C753" i="5" s="1"/>
  <c r="A754" i="5"/>
  <c r="C754" i="5" s="1"/>
  <c r="A755" i="5"/>
  <c r="C755" i="5" s="1"/>
  <c r="A756" i="5"/>
  <c r="A757" i="5"/>
  <c r="A758" i="5"/>
  <c r="A759" i="5"/>
  <c r="A760" i="5"/>
  <c r="B760" i="5" s="1"/>
  <c r="D760" i="5" s="1"/>
  <c r="A761" i="5"/>
  <c r="A762" i="5"/>
  <c r="A763" i="5"/>
  <c r="C763" i="5" s="1"/>
  <c r="A764" i="5"/>
  <c r="A765" i="5"/>
  <c r="A766" i="5"/>
  <c r="B766" i="5" s="1"/>
  <c r="D766" i="5" s="1"/>
  <c r="A767" i="5"/>
  <c r="A768" i="5"/>
  <c r="B768" i="5" s="1"/>
  <c r="D768" i="5" s="1"/>
  <c r="A769" i="5"/>
  <c r="C769" i="5" s="1"/>
  <c r="A770" i="5"/>
  <c r="C770" i="5" s="1"/>
  <c r="A771" i="5"/>
  <c r="C771" i="5" s="1"/>
  <c r="A772" i="5"/>
  <c r="A773" i="5"/>
  <c r="A774" i="5"/>
  <c r="B774" i="5" s="1"/>
  <c r="D774" i="5" s="1"/>
  <c r="A775" i="5"/>
  <c r="A776" i="5"/>
  <c r="C776" i="5" s="1"/>
  <c r="A777" i="5"/>
  <c r="A778" i="5"/>
  <c r="A779" i="5"/>
  <c r="B779" i="5" s="1"/>
  <c r="D779" i="5" s="1"/>
  <c r="A780" i="5"/>
  <c r="A781" i="5"/>
  <c r="A782" i="5"/>
  <c r="C782" i="5" s="1"/>
  <c r="A783" i="5"/>
  <c r="A784" i="5"/>
  <c r="B784" i="5" s="1"/>
  <c r="D784" i="5" s="1"/>
  <c r="A785" i="5"/>
  <c r="C785" i="5" s="1"/>
  <c r="A786" i="5"/>
  <c r="C786" i="5" s="1"/>
  <c r="A787" i="5"/>
  <c r="C787" i="5" s="1"/>
  <c r="A788" i="5"/>
  <c r="A789" i="5"/>
  <c r="A790" i="5"/>
  <c r="B790" i="5" s="1"/>
  <c r="D790" i="5" s="1"/>
  <c r="A791" i="5"/>
  <c r="A792" i="5"/>
  <c r="C792" i="5" s="1"/>
  <c r="A793" i="5"/>
  <c r="A794" i="5"/>
  <c r="A795" i="5"/>
  <c r="B795" i="5" s="1"/>
  <c r="D795" i="5" s="1"/>
  <c r="A796" i="5"/>
  <c r="A797" i="5"/>
  <c r="A798" i="5"/>
  <c r="C798" i="5" s="1"/>
  <c r="A799" i="5"/>
  <c r="A800" i="5"/>
  <c r="B800" i="5" s="1"/>
  <c r="D800" i="5" s="1"/>
  <c r="A801" i="5"/>
  <c r="C801" i="5" s="1"/>
  <c r="A802" i="5"/>
  <c r="C802" i="5" s="1"/>
  <c r="A2" i="5"/>
  <c r="C2" i="5" s="1"/>
  <c r="B404" i="5"/>
  <c r="D404" i="5" s="1"/>
  <c r="C404" i="5"/>
  <c r="B405" i="5"/>
  <c r="D405" i="5" s="1"/>
  <c r="C406" i="5"/>
  <c r="B407" i="5"/>
  <c r="D407" i="5" s="1"/>
  <c r="B412" i="5"/>
  <c r="C412" i="5"/>
  <c r="D412" i="5"/>
  <c r="B413" i="5"/>
  <c r="D413" i="5"/>
  <c r="B415" i="5"/>
  <c r="D415" i="5" s="1"/>
  <c r="C416" i="5"/>
  <c r="B420" i="5"/>
  <c r="D420" i="5" s="1"/>
  <c r="C420" i="5"/>
  <c r="B421" i="5"/>
  <c r="D421" i="5" s="1"/>
  <c r="B422" i="5"/>
  <c r="D422" i="5" s="1"/>
  <c r="C422" i="5"/>
  <c r="B423" i="5"/>
  <c r="D423" i="5"/>
  <c r="B428" i="5"/>
  <c r="C428" i="5"/>
  <c r="D428" i="5"/>
  <c r="B429" i="5"/>
  <c r="D429" i="5" s="1"/>
  <c r="B430" i="5"/>
  <c r="D430" i="5" s="1"/>
  <c r="C430" i="5"/>
  <c r="B431" i="5"/>
  <c r="D431" i="5" s="1"/>
  <c r="B436" i="5"/>
  <c r="C436" i="5"/>
  <c r="D436" i="5"/>
  <c r="B437" i="5"/>
  <c r="D437" i="5"/>
  <c r="B439" i="5"/>
  <c r="D439" i="5" s="1"/>
  <c r="B444" i="5"/>
  <c r="C444" i="5"/>
  <c r="D444" i="5"/>
  <c r="B445" i="5"/>
  <c r="D445" i="5" s="1"/>
  <c r="B446" i="5"/>
  <c r="D446" i="5" s="1"/>
  <c r="B447" i="5"/>
  <c r="D447" i="5" s="1"/>
  <c r="C448" i="5"/>
  <c r="B452" i="5"/>
  <c r="D452" i="5" s="1"/>
  <c r="C452" i="5"/>
  <c r="B453" i="5"/>
  <c r="D453" i="5" s="1"/>
  <c r="B454" i="5"/>
  <c r="D454" i="5" s="1"/>
  <c r="B455" i="5"/>
  <c r="D455" i="5"/>
  <c r="C456" i="5"/>
  <c r="B460" i="5"/>
  <c r="C460" i="5"/>
  <c r="D460" i="5"/>
  <c r="B461" i="5"/>
  <c r="D461" i="5" s="1"/>
  <c r="C462" i="5"/>
  <c r="B462" i="5"/>
  <c r="D462" i="5" s="1"/>
  <c r="C464" i="5"/>
  <c r="B468" i="5"/>
  <c r="C468" i="5"/>
  <c r="D468" i="5"/>
  <c r="B470" i="5"/>
  <c r="D470" i="5" s="1"/>
  <c r="B476" i="5"/>
  <c r="D476" i="5" s="1"/>
  <c r="C476" i="5"/>
  <c r="C478" i="5"/>
  <c r="B484" i="5"/>
  <c r="D484" i="5" s="1"/>
  <c r="C484" i="5"/>
  <c r="C486" i="5"/>
  <c r="B486" i="5"/>
  <c r="D486" i="5" s="1"/>
  <c r="B488" i="5"/>
  <c r="D488" i="5" s="1"/>
  <c r="B492" i="5"/>
  <c r="C492" i="5"/>
  <c r="D492" i="5"/>
  <c r="B494" i="5"/>
  <c r="D494" i="5" s="1"/>
  <c r="B500" i="5"/>
  <c r="D500" i="5" s="1"/>
  <c r="C500" i="5"/>
  <c r="B502" i="5"/>
  <c r="D502" i="5" s="1"/>
  <c r="B508" i="5"/>
  <c r="C508" i="5"/>
  <c r="D508" i="5"/>
  <c r="C510" i="5"/>
  <c r="B510" i="5"/>
  <c r="D510" i="5" s="1"/>
  <c r="B516" i="5"/>
  <c r="D516" i="5" s="1"/>
  <c r="C516" i="5"/>
  <c r="C518" i="5"/>
  <c r="B524" i="5"/>
  <c r="D524" i="5" s="1"/>
  <c r="C524" i="5"/>
  <c r="C526" i="5"/>
  <c r="B532" i="5"/>
  <c r="C532" i="5"/>
  <c r="D532" i="5"/>
  <c r="B534" i="5"/>
  <c r="D534" i="5" s="1"/>
  <c r="C536" i="5"/>
  <c r="B540" i="5"/>
  <c r="C540" i="5"/>
  <c r="D540" i="5"/>
  <c r="B542" i="5"/>
  <c r="D542" i="5" s="1"/>
  <c r="B546" i="5"/>
  <c r="D546" i="5" s="1"/>
  <c r="B548" i="5"/>
  <c r="C548" i="5"/>
  <c r="D548" i="5"/>
  <c r="C552" i="5"/>
  <c r="B556" i="5"/>
  <c r="D556" i="5" s="1"/>
  <c r="C556" i="5"/>
  <c r="B564" i="5"/>
  <c r="D564" i="5" s="1"/>
  <c r="C564" i="5"/>
  <c r="B566" i="5"/>
  <c r="D566" i="5" s="1"/>
  <c r="B567" i="5"/>
  <c r="D567" i="5" s="1"/>
  <c r="C567" i="5"/>
  <c r="D569" i="5"/>
  <c r="B573" i="5"/>
  <c r="D573" i="5" s="1"/>
  <c r="C573" i="5"/>
  <c r="B575" i="5"/>
  <c r="D575" i="5" s="1"/>
  <c r="C575" i="5"/>
  <c r="B581" i="5"/>
  <c r="D581" i="5" s="1"/>
  <c r="C581" i="5"/>
  <c r="B583" i="5"/>
  <c r="C583" i="5"/>
  <c r="D583" i="5"/>
  <c r="B589" i="5"/>
  <c r="C589" i="5"/>
  <c r="D589" i="5"/>
  <c r="B591" i="5"/>
  <c r="D591" i="5" s="1"/>
  <c r="C591" i="5"/>
  <c r="B597" i="5"/>
  <c r="D597" i="5" s="1"/>
  <c r="C597" i="5"/>
  <c r="B599" i="5"/>
  <c r="D599" i="5" s="1"/>
  <c r="C599" i="5"/>
  <c r="B605" i="5"/>
  <c r="D605" i="5" s="1"/>
  <c r="C605" i="5"/>
  <c r="B607" i="5"/>
  <c r="D607" i="5" s="1"/>
  <c r="C607" i="5"/>
  <c r="C613" i="5"/>
  <c r="B613" i="5"/>
  <c r="D613" i="5" s="1"/>
  <c r="B614" i="5"/>
  <c r="D614" i="5" s="1"/>
  <c r="C615" i="5"/>
  <c r="B615" i="5"/>
  <c r="D615" i="5" s="1"/>
  <c r="C620" i="5"/>
  <c r="B620" i="5"/>
  <c r="D620" i="5" s="1"/>
  <c r="C621" i="5"/>
  <c r="B621" i="5"/>
  <c r="D621" i="5" s="1"/>
  <c r="C622" i="5"/>
  <c r="B622" i="5"/>
  <c r="D622" i="5" s="1"/>
  <c r="C623" i="5"/>
  <c r="B623" i="5"/>
  <c r="D623" i="5" s="1"/>
  <c r="C628" i="5"/>
  <c r="B628" i="5"/>
  <c r="D628" i="5" s="1"/>
  <c r="C629" i="5"/>
  <c r="B629" i="5"/>
  <c r="D629" i="5" s="1"/>
  <c r="C631" i="5"/>
  <c r="B631" i="5"/>
  <c r="D631" i="5" s="1"/>
  <c r="C632" i="5"/>
  <c r="C635" i="5"/>
  <c r="C636" i="5"/>
  <c r="B636" i="5"/>
  <c r="D636" i="5" s="1"/>
  <c r="C637" i="5"/>
  <c r="B637" i="5"/>
  <c r="D637" i="5" s="1"/>
  <c r="C638" i="5"/>
  <c r="B638" i="5"/>
  <c r="D638" i="5" s="1"/>
  <c r="C639" i="5"/>
  <c r="B639" i="5"/>
  <c r="D639" i="5" s="1"/>
  <c r="C644" i="5"/>
  <c r="B644" i="5"/>
  <c r="D644" i="5" s="1"/>
  <c r="B645" i="5"/>
  <c r="D645" i="5" s="1"/>
  <c r="B646" i="5"/>
  <c r="D646" i="5" s="1"/>
  <c r="C646" i="5"/>
  <c r="C647" i="5"/>
  <c r="B647" i="5"/>
  <c r="D647" i="5" s="1"/>
  <c r="B652" i="5"/>
  <c r="D652" i="5" s="1"/>
  <c r="C652" i="5"/>
  <c r="B653" i="5"/>
  <c r="D653" i="5" s="1"/>
  <c r="C653" i="5"/>
  <c r="B655" i="5"/>
  <c r="D655" i="5" s="1"/>
  <c r="C655" i="5"/>
  <c r="C660" i="5"/>
  <c r="B660" i="5"/>
  <c r="D660" i="5" s="1"/>
  <c r="B661" i="5"/>
  <c r="D661" i="5" s="1"/>
  <c r="C662" i="5"/>
  <c r="C663" i="5"/>
  <c r="B663" i="5"/>
  <c r="D663" i="5" s="1"/>
  <c r="B668" i="5"/>
  <c r="D668" i="5" s="1"/>
  <c r="C668" i="5"/>
  <c r="B669" i="5"/>
  <c r="D669" i="5" s="1"/>
  <c r="C669" i="5"/>
  <c r="B671" i="5"/>
  <c r="D671" i="5" s="1"/>
  <c r="C671" i="5"/>
  <c r="C672" i="5"/>
  <c r="C676" i="5"/>
  <c r="B676" i="5"/>
  <c r="D676" i="5" s="1"/>
  <c r="B677" i="5"/>
  <c r="D677" i="5" s="1"/>
  <c r="B678" i="5"/>
  <c r="D678" i="5" s="1"/>
  <c r="C678" i="5"/>
  <c r="C679" i="5"/>
  <c r="B679" i="5"/>
  <c r="D679" i="5" s="1"/>
  <c r="B684" i="5"/>
  <c r="D684" i="5" s="1"/>
  <c r="C684" i="5"/>
  <c r="B685" i="5"/>
  <c r="D685" i="5" s="1"/>
  <c r="C685" i="5"/>
  <c r="B687" i="5"/>
  <c r="C687" i="5"/>
  <c r="D687" i="5"/>
  <c r="B691" i="5"/>
  <c r="D691" i="5" s="1"/>
  <c r="C692" i="5"/>
  <c r="B692" i="5"/>
  <c r="D692" i="5" s="1"/>
  <c r="B693" i="5"/>
  <c r="D693" i="5" s="1"/>
  <c r="B694" i="5"/>
  <c r="D694" i="5" s="1"/>
  <c r="C694" i="5"/>
  <c r="C695" i="5"/>
  <c r="B695" i="5"/>
  <c r="D695" i="5" s="1"/>
  <c r="B700" i="5"/>
  <c r="D700" i="5" s="1"/>
  <c r="C700" i="5"/>
  <c r="C701" i="5"/>
  <c r="B701" i="5"/>
  <c r="D701" i="5" s="1"/>
  <c r="C702" i="5"/>
  <c r="C703" i="5"/>
  <c r="B703" i="5"/>
  <c r="D703" i="5" s="1"/>
  <c r="B708" i="5"/>
  <c r="D708" i="5" s="1"/>
  <c r="C708" i="5"/>
  <c r="C709" i="5"/>
  <c r="B709" i="5"/>
  <c r="D709" i="5" s="1"/>
  <c r="B710" i="5"/>
  <c r="D710" i="5" s="1"/>
  <c r="C710" i="5"/>
  <c r="C711" i="5"/>
  <c r="B711" i="5"/>
  <c r="D711" i="5" s="1"/>
  <c r="B716" i="5"/>
  <c r="D716" i="5" s="1"/>
  <c r="C716" i="5"/>
  <c r="C717" i="5"/>
  <c r="B717" i="5"/>
  <c r="D717" i="5" s="1"/>
  <c r="C718" i="5"/>
  <c r="C719" i="5"/>
  <c r="B719" i="5"/>
  <c r="D719" i="5" s="1"/>
  <c r="B723" i="5"/>
  <c r="D723" i="5" s="1"/>
  <c r="B724" i="5"/>
  <c r="C724" i="5"/>
  <c r="D724" i="5"/>
  <c r="C725" i="5"/>
  <c r="B725" i="5"/>
  <c r="D725" i="5" s="1"/>
  <c r="B726" i="5"/>
  <c r="D726" i="5" s="1"/>
  <c r="C726" i="5"/>
  <c r="C727" i="5"/>
  <c r="B727" i="5"/>
  <c r="D727" i="5" s="1"/>
  <c r="B732" i="5"/>
  <c r="D732" i="5" s="1"/>
  <c r="C732" i="5"/>
  <c r="C733" i="5"/>
  <c r="B733" i="5"/>
  <c r="D733" i="5" s="1"/>
  <c r="C734" i="5"/>
  <c r="C735" i="5"/>
  <c r="B735" i="5"/>
  <c r="D735" i="5" s="1"/>
  <c r="B740" i="5"/>
  <c r="D740" i="5" s="1"/>
  <c r="C740" i="5"/>
  <c r="C741" i="5"/>
  <c r="B741" i="5"/>
  <c r="D741" i="5" s="1"/>
  <c r="B742" i="5"/>
  <c r="D742" i="5" s="1"/>
  <c r="C742" i="5"/>
  <c r="C743" i="5"/>
  <c r="B743" i="5"/>
  <c r="D743" i="5" s="1"/>
  <c r="B748" i="5"/>
  <c r="D748" i="5" s="1"/>
  <c r="C748" i="5"/>
  <c r="C749" i="5"/>
  <c r="B749" i="5"/>
  <c r="D749" i="5" s="1"/>
  <c r="C751" i="5"/>
  <c r="B751" i="5"/>
  <c r="D751" i="5" s="1"/>
  <c r="B756" i="5"/>
  <c r="D756" i="5" s="1"/>
  <c r="C756" i="5"/>
  <c r="C757" i="5"/>
  <c r="B757" i="5"/>
  <c r="D757" i="5" s="1"/>
  <c r="B758" i="5"/>
  <c r="D758" i="5" s="1"/>
  <c r="C758" i="5"/>
  <c r="C759" i="5"/>
  <c r="B759" i="5"/>
  <c r="D759" i="5" s="1"/>
  <c r="B764" i="5"/>
  <c r="D764" i="5" s="1"/>
  <c r="C764" i="5"/>
  <c r="C765" i="5"/>
  <c r="B765" i="5"/>
  <c r="D765" i="5" s="1"/>
  <c r="C767" i="5"/>
  <c r="B767" i="5"/>
  <c r="D767" i="5" s="1"/>
  <c r="B772" i="5"/>
  <c r="D772" i="5" s="1"/>
  <c r="C772" i="5"/>
  <c r="C773" i="5"/>
  <c r="B773" i="5"/>
  <c r="D773" i="5" s="1"/>
  <c r="C774" i="5"/>
  <c r="C775" i="5"/>
  <c r="B775" i="5"/>
  <c r="D775" i="5" s="1"/>
  <c r="B776" i="5"/>
  <c r="D776" i="5" s="1"/>
  <c r="B780" i="5"/>
  <c r="D780" i="5" s="1"/>
  <c r="C780" i="5"/>
  <c r="C781" i="5"/>
  <c r="B781" i="5"/>
  <c r="D781" i="5" s="1"/>
  <c r="B782" i="5"/>
  <c r="D782" i="5" s="1"/>
  <c r="C783" i="5"/>
  <c r="B783" i="5"/>
  <c r="D783" i="5" s="1"/>
  <c r="B788" i="5"/>
  <c r="D788" i="5" s="1"/>
  <c r="C788" i="5"/>
  <c r="C789" i="5"/>
  <c r="B789" i="5"/>
  <c r="D789" i="5" s="1"/>
  <c r="C790" i="5"/>
  <c r="C791" i="5"/>
  <c r="B791" i="5"/>
  <c r="D791" i="5" s="1"/>
  <c r="B792" i="5"/>
  <c r="D792" i="5" s="1"/>
  <c r="B796" i="5"/>
  <c r="D796" i="5" s="1"/>
  <c r="C796" i="5"/>
  <c r="C797" i="5"/>
  <c r="B797" i="5"/>
  <c r="D797" i="5" s="1"/>
  <c r="B798" i="5"/>
  <c r="D798" i="5" s="1"/>
  <c r="C799" i="5"/>
  <c r="B799" i="5"/>
  <c r="D799" i="5" s="1"/>
  <c r="B40" i="5"/>
  <c r="D40" i="5" s="1"/>
  <c r="B65" i="5"/>
  <c r="D65" i="5" s="1"/>
  <c r="B112" i="5"/>
  <c r="D112" i="5" s="1"/>
  <c r="B137" i="5"/>
  <c r="D137" i="5" s="1"/>
  <c r="B138" i="5"/>
  <c r="D138" i="5" s="1"/>
  <c r="B200" i="5"/>
  <c r="D200" i="5" s="1"/>
  <c r="B204" i="5"/>
  <c r="D204" i="5" s="1"/>
  <c r="B212" i="5"/>
  <c r="D212" i="5" s="1"/>
  <c r="C216" i="5"/>
  <c r="B236" i="5"/>
  <c r="D236" i="5" s="1"/>
  <c r="B244" i="5"/>
  <c r="D244" i="5" s="1"/>
  <c r="B250" i="5"/>
  <c r="D250" i="5" s="1"/>
  <c r="C252" i="5"/>
  <c r="B338" i="5"/>
  <c r="D338" i="5" s="1"/>
  <c r="B205" i="5"/>
  <c r="D205" i="5" s="1"/>
  <c r="B206" i="5"/>
  <c r="D206" i="5" s="1"/>
  <c r="C206" i="5"/>
  <c r="B207" i="5"/>
  <c r="D207" i="5" s="1"/>
  <c r="C212" i="5"/>
  <c r="B213" i="5"/>
  <c r="D213" i="5" s="1"/>
  <c r="B214" i="5"/>
  <c r="C214" i="5"/>
  <c r="D214" i="5"/>
  <c r="B215" i="5"/>
  <c r="D215" i="5" s="1"/>
  <c r="B220" i="5"/>
  <c r="D220" i="5" s="1"/>
  <c r="C220" i="5"/>
  <c r="B221" i="5"/>
  <c r="D221" i="5" s="1"/>
  <c r="B222" i="5"/>
  <c r="D222" i="5" s="1"/>
  <c r="C222" i="5"/>
  <c r="B223" i="5"/>
  <c r="D223" i="5" s="1"/>
  <c r="B228" i="5"/>
  <c r="D228" i="5" s="1"/>
  <c r="C228" i="5"/>
  <c r="B229" i="5"/>
  <c r="D229" i="5" s="1"/>
  <c r="B230" i="5"/>
  <c r="D230" i="5" s="1"/>
  <c r="C230" i="5"/>
  <c r="B231" i="5"/>
  <c r="D231" i="5" s="1"/>
  <c r="B237" i="5"/>
  <c r="D237" i="5" s="1"/>
  <c r="B238" i="5"/>
  <c r="D238" i="5" s="1"/>
  <c r="C238" i="5"/>
  <c r="B239" i="5"/>
  <c r="D239" i="5" s="1"/>
  <c r="B245" i="5"/>
  <c r="D245" i="5" s="1"/>
  <c r="C246" i="5"/>
  <c r="B246" i="5"/>
  <c r="D246" i="5" s="1"/>
  <c r="B247" i="5"/>
  <c r="D247" i="5" s="1"/>
  <c r="B252" i="5"/>
  <c r="D252" i="5" s="1"/>
  <c r="B253" i="5"/>
  <c r="D253" i="5" s="1"/>
  <c r="C254" i="5"/>
  <c r="B254" i="5"/>
  <c r="D254" i="5" s="1"/>
  <c r="B255" i="5"/>
  <c r="D255" i="5" s="1"/>
  <c r="B260" i="5"/>
  <c r="D260" i="5" s="1"/>
  <c r="C260" i="5"/>
  <c r="B261" i="5"/>
  <c r="D261" i="5" s="1"/>
  <c r="C262" i="5"/>
  <c r="B262" i="5"/>
  <c r="D262" i="5" s="1"/>
  <c r="B263" i="5"/>
  <c r="D263" i="5" s="1"/>
  <c r="B268" i="5"/>
  <c r="D268" i="5" s="1"/>
  <c r="C268" i="5"/>
  <c r="B269" i="5"/>
  <c r="D269" i="5" s="1"/>
  <c r="C270" i="5"/>
  <c r="B270" i="5"/>
  <c r="D270" i="5" s="1"/>
  <c r="B271" i="5"/>
  <c r="D271" i="5" s="1"/>
  <c r="B276" i="5"/>
  <c r="D276" i="5" s="1"/>
  <c r="C276" i="5"/>
  <c r="C278" i="5"/>
  <c r="B278" i="5"/>
  <c r="D278" i="5" s="1"/>
  <c r="B284" i="5"/>
  <c r="D284" i="5" s="1"/>
  <c r="C284" i="5"/>
  <c r="C286" i="5"/>
  <c r="B286" i="5"/>
  <c r="D286" i="5" s="1"/>
  <c r="B292" i="5"/>
  <c r="D292" i="5" s="1"/>
  <c r="C292" i="5"/>
  <c r="C294" i="5"/>
  <c r="B294" i="5"/>
  <c r="D294" i="5"/>
  <c r="B296" i="5"/>
  <c r="D296" i="5" s="1"/>
  <c r="B300" i="5"/>
  <c r="D300" i="5" s="1"/>
  <c r="C300" i="5"/>
  <c r="C302" i="5"/>
  <c r="B302" i="5"/>
  <c r="D302" i="5" s="1"/>
  <c r="B308" i="5"/>
  <c r="D308" i="5" s="1"/>
  <c r="C308" i="5"/>
  <c r="C310" i="5"/>
  <c r="B310" i="5"/>
  <c r="D310" i="5" s="1"/>
  <c r="B316" i="5"/>
  <c r="D316" i="5" s="1"/>
  <c r="C316" i="5"/>
  <c r="C318" i="5"/>
  <c r="B318" i="5"/>
  <c r="D318" i="5" s="1"/>
  <c r="B320" i="5"/>
  <c r="D320" i="5" s="1"/>
  <c r="B324" i="5"/>
  <c r="D324" i="5" s="1"/>
  <c r="C324" i="5"/>
  <c r="C326" i="5"/>
  <c r="B326" i="5"/>
  <c r="D326" i="5" s="1"/>
  <c r="B332" i="5"/>
  <c r="D332" i="5" s="1"/>
  <c r="C332" i="5"/>
  <c r="B334" i="5"/>
  <c r="D334" i="5" s="1"/>
  <c r="C334" i="5"/>
  <c r="B340" i="5"/>
  <c r="D340" i="5" s="1"/>
  <c r="C340" i="5"/>
  <c r="C342" i="5"/>
  <c r="B342" i="5"/>
  <c r="D342" i="5"/>
  <c r="B348" i="5"/>
  <c r="D348" i="5" s="1"/>
  <c r="C348" i="5"/>
  <c r="B350" i="5"/>
  <c r="D350" i="5" s="1"/>
  <c r="C350" i="5"/>
  <c r="C355" i="5"/>
  <c r="B356" i="5"/>
  <c r="D356" i="5" s="1"/>
  <c r="C356" i="5"/>
  <c r="B357" i="5"/>
  <c r="D357" i="5" s="1"/>
  <c r="C357" i="5"/>
  <c r="B358" i="5"/>
  <c r="D358" i="5" s="1"/>
  <c r="C358" i="5"/>
  <c r="B359" i="5"/>
  <c r="D359" i="5" s="1"/>
  <c r="B360" i="5"/>
  <c r="D360" i="5" s="1"/>
  <c r="B364" i="5"/>
  <c r="D364" i="5" s="1"/>
  <c r="C364" i="5"/>
  <c r="B365" i="5"/>
  <c r="D365" i="5" s="1"/>
  <c r="C365" i="5"/>
  <c r="B366" i="5"/>
  <c r="D366" i="5" s="1"/>
  <c r="C366" i="5"/>
  <c r="B367" i="5"/>
  <c r="D367" i="5" s="1"/>
  <c r="B372" i="5"/>
  <c r="D372" i="5" s="1"/>
  <c r="C372" i="5"/>
  <c r="B373" i="5"/>
  <c r="D373" i="5" s="1"/>
  <c r="C373" i="5"/>
  <c r="B374" i="5"/>
  <c r="D374" i="5" s="1"/>
  <c r="C374" i="5"/>
  <c r="B375" i="5"/>
  <c r="C375" i="5"/>
  <c r="D375" i="5"/>
  <c r="C379" i="5"/>
  <c r="B380" i="5"/>
  <c r="D380" i="5" s="1"/>
  <c r="C380" i="5"/>
  <c r="B381" i="5"/>
  <c r="C381" i="5"/>
  <c r="D381" i="5"/>
  <c r="B382" i="5"/>
  <c r="D382" i="5" s="1"/>
  <c r="C382" i="5"/>
  <c r="B383" i="5"/>
  <c r="D383" i="5" s="1"/>
  <c r="C383" i="5"/>
  <c r="B388" i="5"/>
  <c r="D388" i="5" s="1"/>
  <c r="C388" i="5"/>
  <c r="B389" i="5"/>
  <c r="D389" i="5" s="1"/>
  <c r="C389" i="5"/>
  <c r="B390" i="5"/>
  <c r="D390" i="5" s="1"/>
  <c r="C390" i="5"/>
  <c r="B391" i="5"/>
  <c r="C391" i="5"/>
  <c r="D391" i="5"/>
  <c r="B392" i="5"/>
  <c r="D392" i="5" s="1"/>
  <c r="B396" i="5"/>
  <c r="D396" i="5" s="1"/>
  <c r="C396" i="5"/>
  <c r="B397" i="5"/>
  <c r="C397" i="5"/>
  <c r="D397" i="5"/>
  <c r="B398" i="5"/>
  <c r="D398" i="5" s="1"/>
  <c r="C398" i="5"/>
  <c r="B399" i="5"/>
  <c r="D399" i="5" s="1"/>
  <c r="C399" i="5"/>
  <c r="D103" i="5"/>
  <c r="D104" i="5"/>
  <c r="D191" i="5"/>
  <c r="D192" i="5"/>
  <c r="B198" i="5"/>
  <c r="D198" i="5" s="1"/>
  <c r="C198" i="5"/>
  <c r="B199" i="5"/>
  <c r="D199" i="5" s="1"/>
  <c r="C199" i="5"/>
  <c r="B172" i="5"/>
  <c r="D172" i="5" s="1"/>
  <c r="C172" i="5"/>
  <c r="B173" i="5"/>
  <c r="D173" i="5" s="1"/>
  <c r="C173" i="5"/>
  <c r="B174" i="5"/>
  <c r="D174" i="5" s="1"/>
  <c r="C174" i="5"/>
  <c r="B175" i="5"/>
  <c r="D175" i="5" s="1"/>
  <c r="C175" i="5"/>
  <c r="C176" i="5"/>
  <c r="B179" i="5"/>
  <c r="D179" i="5" s="1"/>
  <c r="B180" i="5"/>
  <c r="D180" i="5" s="1"/>
  <c r="C180" i="5"/>
  <c r="B181" i="5"/>
  <c r="D181" i="5" s="1"/>
  <c r="C181" i="5"/>
  <c r="B182" i="5"/>
  <c r="D182" i="5" s="1"/>
  <c r="C182" i="5"/>
  <c r="B183" i="5"/>
  <c r="D183" i="5" s="1"/>
  <c r="C183" i="5"/>
  <c r="B188" i="5"/>
  <c r="D188" i="5" s="1"/>
  <c r="C188" i="5"/>
  <c r="B189" i="5"/>
  <c r="D189" i="5" s="1"/>
  <c r="C189" i="5"/>
  <c r="B190" i="5"/>
  <c r="D190" i="5" s="1"/>
  <c r="C190" i="5"/>
  <c r="B191" i="5"/>
  <c r="C191" i="5"/>
  <c r="B196" i="5"/>
  <c r="D196" i="5" s="1"/>
  <c r="C196" i="5"/>
  <c r="B197" i="5"/>
  <c r="D197" i="5" s="1"/>
  <c r="C197" i="5"/>
  <c r="B142" i="5"/>
  <c r="D142" i="5" s="1"/>
  <c r="B143" i="5"/>
  <c r="D143" i="5" s="1"/>
  <c r="C143" i="5"/>
  <c r="B148" i="5"/>
  <c r="D148" i="5" s="1"/>
  <c r="B149" i="5"/>
  <c r="D149" i="5" s="1"/>
  <c r="C149" i="5"/>
  <c r="B150" i="5"/>
  <c r="D150" i="5" s="1"/>
  <c r="B151" i="5"/>
  <c r="D151" i="5" s="1"/>
  <c r="C151" i="5"/>
  <c r="B156" i="5"/>
  <c r="D156" i="5" s="1"/>
  <c r="B157" i="5"/>
  <c r="D157" i="5" s="1"/>
  <c r="C157" i="5"/>
  <c r="B158" i="5"/>
  <c r="D158" i="5" s="1"/>
  <c r="B159" i="5"/>
  <c r="D159" i="5" s="1"/>
  <c r="C159" i="5"/>
  <c r="C161" i="5"/>
  <c r="B164" i="5"/>
  <c r="D164" i="5" s="1"/>
  <c r="B165" i="5"/>
  <c r="D165" i="5" s="1"/>
  <c r="C165" i="5"/>
  <c r="B166" i="5"/>
  <c r="D166" i="5" s="1"/>
  <c r="B167" i="5"/>
  <c r="D167" i="5" s="1"/>
  <c r="C167" i="5"/>
  <c r="B116" i="5"/>
  <c r="D116" i="5" s="1"/>
  <c r="B117" i="5"/>
  <c r="D117" i="5" s="1"/>
  <c r="C117" i="5"/>
  <c r="B118" i="5"/>
  <c r="D118" i="5" s="1"/>
  <c r="B119" i="5"/>
  <c r="D119" i="5" s="1"/>
  <c r="C119" i="5"/>
  <c r="B124" i="5"/>
  <c r="D124" i="5" s="1"/>
  <c r="B125" i="5"/>
  <c r="D125" i="5" s="1"/>
  <c r="C125" i="5"/>
  <c r="B126" i="5"/>
  <c r="D126" i="5" s="1"/>
  <c r="B127" i="5"/>
  <c r="D127" i="5" s="1"/>
  <c r="C127" i="5"/>
  <c r="B132" i="5"/>
  <c r="D132" i="5" s="1"/>
  <c r="B133" i="5"/>
  <c r="D133" i="5" s="1"/>
  <c r="C133" i="5"/>
  <c r="B134" i="5"/>
  <c r="D134" i="5" s="1"/>
  <c r="B135" i="5"/>
  <c r="D135" i="5" s="1"/>
  <c r="C135" i="5"/>
  <c r="B140" i="5"/>
  <c r="D140" i="5" s="1"/>
  <c r="B141" i="5"/>
  <c r="D141" i="5" s="1"/>
  <c r="C141" i="5"/>
  <c r="B68" i="5"/>
  <c r="D68" i="5" s="1"/>
  <c r="B69" i="5"/>
  <c r="D69" i="5" s="1"/>
  <c r="C69" i="5"/>
  <c r="B70" i="5"/>
  <c r="D70" i="5" s="1"/>
  <c r="B71" i="5"/>
  <c r="D71" i="5" s="1"/>
  <c r="C71" i="5"/>
  <c r="B73" i="5"/>
  <c r="D73" i="5" s="1"/>
  <c r="B76" i="5"/>
  <c r="D76" i="5" s="1"/>
  <c r="B77" i="5"/>
  <c r="D77" i="5" s="1"/>
  <c r="C77" i="5"/>
  <c r="B78" i="5"/>
  <c r="D78" i="5" s="1"/>
  <c r="B79" i="5"/>
  <c r="D79" i="5" s="1"/>
  <c r="C79" i="5"/>
  <c r="B84" i="5"/>
  <c r="D84" i="5" s="1"/>
  <c r="B85" i="5"/>
  <c r="D85" i="5" s="1"/>
  <c r="C85" i="5"/>
  <c r="B86" i="5"/>
  <c r="D86" i="5" s="1"/>
  <c r="B87" i="5"/>
  <c r="D87" i="5" s="1"/>
  <c r="C87" i="5"/>
  <c r="B92" i="5"/>
  <c r="D92" i="5" s="1"/>
  <c r="B93" i="5"/>
  <c r="D93" i="5" s="1"/>
  <c r="C93" i="5"/>
  <c r="B94" i="5"/>
  <c r="D94" i="5" s="1"/>
  <c r="B95" i="5"/>
  <c r="D95" i="5" s="1"/>
  <c r="C95" i="5"/>
  <c r="B100" i="5"/>
  <c r="D100" i="5" s="1"/>
  <c r="B101" i="5"/>
  <c r="D101" i="5" s="1"/>
  <c r="C101" i="5"/>
  <c r="B102" i="5"/>
  <c r="D102" i="5" s="1"/>
  <c r="B103" i="5"/>
  <c r="C103" i="5"/>
  <c r="B108" i="5"/>
  <c r="D108" i="5" s="1"/>
  <c r="B109" i="5"/>
  <c r="D109" i="5" s="1"/>
  <c r="C109" i="5"/>
  <c r="B110" i="5"/>
  <c r="D110" i="5" s="1"/>
  <c r="B111" i="5"/>
  <c r="D111" i="5" s="1"/>
  <c r="C111" i="5"/>
  <c r="B53" i="5"/>
  <c r="D53" i="5" s="1"/>
  <c r="C53" i="5"/>
  <c r="B54" i="5"/>
  <c r="D54" i="5" s="1"/>
  <c r="C54" i="5"/>
  <c r="B55" i="5"/>
  <c r="D55" i="5" s="1"/>
  <c r="C55" i="5"/>
  <c r="B60" i="5"/>
  <c r="D60" i="5" s="1"/>
  <c r="C60" i="5"/>
  <c r="B61" i="5"/>
  <c r="D61" i="5" s="1"/>
  <c r="C61" i="5"/>
  <c r="B62" i="5"/>
  <c r="D62" i="5" s="1"/>
  <c r="C62" i="5"/>
  <c r="B63" i="5"/>
  <c r="D63" i="5" s="1"/>
  <c r="C63" i="5"/>
  <c r="B4" i="5"/>
  <c r="D4" i="5" s="1"/>
  <c r="B5" i="5"/>
  <c r="D5" i="5" s="1"/>
  <c r="B6" i="5"/>
  <c r="D6" i="5" s="1"/>
  <c r="B7" i="5"/>
  <c r="D7" i="5" s="1"/>
  <c r="B12" i="5"/>
  <c r="D12" i="5" s="1"/>
  <c r="B13" i="5"/>
  <c r="D13" i="5" s="1"/>
  <c r="B14" i="5"/>
  <c r="D14" i="5" s="1"/>
  <c r="B15" i="5"/>
  <c r="D15" i="5" s="1"/>
  <c r="B20" i="5"/>
  <c r="D20" i="5" s="1"/>
  <c r="B21" i="5"/>
  <c r="D21" i="5" s="1"/>
  <c r="B22" i="5"/>
  <c r="D22" i="5" s="1"/>
  <c r="B23" i="5"/>
  <c r="D23" i="5" s="1"/>
  <c r="B28" i="5"/>
  <c r="D28" i="5" s="1"/>
  <c r="B29" i="5"/>
  <c r="D29" i="5" s="1"/>
  <c r="B30" i="5"/>
  <c r="D30" i="5" s="1"/>
  <c r="B31" i="5"/>
  <c r="D31" i="5" s="1"/>
  <c r="B36" i="5"/>
  <c r="D36" i="5" s="1"/>
  <c r="B37" i="5"/>
  <c r="D37" i="5" s="1"/>
  <c r="B38" i="5"/>
  <c r="D38" i="5" s="1"/>
  <c r="B39" i="5"/>
  <c r="D39" i="5" s="1"/>
  <c r="B43" i="5"/>
  <c r="D43" i="5" s="1"/>
  <c r="B44" i="5"/>
  <c r="D44" i="5" s="1"/>
  <c r="B45" i="5"/>
  <c r="D45" i="5" s="1"/>
  <c r="B46" i="5"/>
  <c r="D46" i="5" s="1"/>
  <c r="B47" i="5"/>
  <c r="D47" i="5" s="1"/>
  <c r="B52" i="5"/>
  <c r="D52" i="5" s="1"/>
  <c r="C52" i="5"/>
  <c r="C4" i="5"/>
  <c r="C5" i="5"/>
  <c r="C6" i="5"/>
  <c r="C7" i="5"/>
  <c r="C8" i="5"/>
  <c r="C12" i="5"/>
  <c r="C13" i="5"/>
  <c r="C14" i="5"/>
  <c r="C15" i="5"/>
  <c r="C20" i="5"/>
  <c r="C21" i="5"/>
  <c r="C22" i="5"/>
  <c r="C23" i="5"/>
  <c r="C28" i="5"/>
  <c r="C29" i="5"/>
  <c r="C30" i="5"/>
  <c r="C31" i="5"/>
  <c r="C36" i="5"/>
  <c r="C37" i="5"/>
  <c r="C38" i="5"/>
  <c r="C39" i="5"/>
  <c r="C44" i="5"/>
  <c r="C45" i="5"/>
  <c r="C46" i="5"/>
  <c r="C47" i="5"/>
  <c r="H3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" i="4"/>
  <c r="C48" i="5" l="1"/>
  <c r="C27" i="5"/>
  <c r="B67" i="5"/>
  <c r="D67" i="5" s="1"/>
  <c r="B187" i="5"/>
  <c r="D187" i="5" s="1"/>
  <c r="B387" i="5"/>
  <c r="D387" i="5" s="1"/>
  <c r="B363" i="5"/>
  <c r="D363" i="5" s="1"/>
  <c r="C795" i="5"/>
  <c r="C779" i="5"/>
  <c r="C766" i="5"/>
  <c r="C760" i="5"/>
  <c r="C750" i="5"/>
  <c r="C744" i="5"/>
  <c r="B728" i="5"/>
  <c r="D728" i="5" s="1"/>
  <c r="B712" i="5"/>
  <c r="D712" i="5" s="1"/>
  <c r="B696" i="5"/>
  <c r="D696" i="5" s="1"/>
  <c r="C675" i="5"/>
  <c r="B643" i="5"/>
  <c r="D643" i="5" s="1"/>
  <c r="B630" i="5"/>
  <c r="D630" i="5" s="1"/>
  <c r="B627" i="5"/>
  <c r="D627" i="5" s="1"/>
  <c r="C528" i="5"/>
  <c r="B438" i="5"/>
  <c r="D438" i="5" s="1"/>
  <c r="C414" i="5"/>
  <c r="B408" i="5"/>
  <c r="D408" i="5" s="1"/>
  <c r="C3" i="5"/>
  <c r="B19" i="5"/>
  <c r="D19" i="5" s="1"/>
  <c r="B624" i="5"/>
  <c r="D624" i="5" s="1"/>
  <c r="C35" i="5"/>
  <c r="C11" i="5"/>
  <c r="B2" i="5"/>
  <c r="D2" i="5" s="1"/>
  <c r="C163" i="5"/>
  <c r="C395" i="5"/>
  <c r="C336" i="5"/>
  <c r="B755" i="5"/>
  <c r="D755" i="5" s="1"/>
  <c r="B739" i="5"/>
  <c r="D739" i="5" s="1"/>
  <c r="B707" i="5"/>
  <c r="D707" i="5" s="1"/>
  <c r="B688" i="5"/>
  <c r="D688" i="5" s="1"/>
  <c r="B667" i="5"/>
  <c r="D667" i="5" s="1"/>
  <c r="C619" i="5"/>
  <c r="C595" i="5"/>
  <c r="C587" i="5"/>
  <c r="B544" i="5"/>
  <c r="D544" i="5" s="1"/>
  <c r="C59" i="5"/>
  <c r="C139" i="5"/>
  <c r="C131" i="5"/>
  <c r="C155" i="5"/>
  <c r="C147" i="5"/>
  <c r="B376" i="5"/>
  <c r="D376" i="5" s="1"/>
  <c r="C288" i="5"/>
  <c r="B787" i="5"/>
  <c r="D787" i="5" s="1"/>
  <c r="B771" i="5"/>
  <c r="D771" i="5" s="1"/>
  <c r="C659" i="5"/>
  <c r="C611" i="5"/>
  <c r="C603" i="5"/>
  <c r="C579" i="5"/>
  <c r="C571" i="5"/>
  <c r="B51" i="5"/>
  <c r="D51" i="5" s="1"/>
  <c r="C115" i="5"/>
  <c r="C107" i="5"/>
  <c r="C99" i="5"/>
  <c r="C91" i="5"/>
  <c r="C83" i="5"/>
  <c r="C75" i="5"/>
  <c r="C123" i="5"/>
  <c r="C195" i="5"/>
  <c r="C171" i="5"/>
  <c r="B731" i="5"/>
  <c r="D731" i="5" s="1"/>
  <c r="B715" i="5"/>
  <c r="D715" i="5" s="1"/>
  <c r="B699" i="5"/>
  <c r="D699" i="5" s="1"/>
  <c r="B683" i="5"/>
  <c r="D683" i="5" s="1"/>
  <c r="C16" i="5"/>
  <c r="C56" i="5"/>
  <c r="C371" i="5"/>
  <c r="B763" i="5"/>
  <c r="D763" i="5" s="1"/>
  <c r="B747" i="5"/>
  <c r="D747" i="5" s="1"/>
  <c r="B651" i="5"/>
  <c r="D651" i="5" s="1"/>
  <c r="B680" i="5"/>
  <c r="D680" i="5" s="1"/>
  <c r="B666" i="5"/>
  <c r="D666" i="5" s="1"/>
  <c r="C666" i="5"/>
  <c r="C634" i="5"/>
  <c r="B634" i="5"/>
  <c r="D634" i="5" s="1"/>
  <c r="B506" i="5"/>
  <c r="D506" i="5" s="1"/>
  <c r="C506" i="5"/>
  <c r="B474" i="5"/>
  <c r="D474" i="5" s="1"/>
  <c r="C474" i="5"/>
  <c r="B450" i="5"/>
  <c r="D450" i="5" s="1"/>
  <c r="C450" i="5"/>
  <c r="B426" i="5"/>
  <c r="D426" i="5" s="1"/>
  <c r="C426" i="5"/>
  <c r="B410" i="5"/>
  <c r="D410" i="5" s="1"/>
  <c r="C410" i="5"/>
  <c r="C745" i="5"/>
  <c r="B745" i="5"/>
  <c r="D745" i="5" s="1"/>
  <c r="C713" i="5"/>
  <c r="B713" i="5"/>
  <c r="D713" i="5" s="1"/>
  <c r="B689" i="5"/>
  <c r="D689" i="5" s="1"/>
  <c r="C689" i="5"/>
  <c r="B673" i="5"/>
  <c r="D673" i="5" s="1"/>
  <c r="C673" i="5"/>
  <c r="B641" i="5"/>
  <c r="D641" i="5" s="1"/>
  <c r="C641" i="5"/>
  <c r="B593" i="5"/>
  <c r="D593" i="5" s="1"/>
  <c r="C593" i="5"/>
  <c r="B801" i="5"/>
  <c r="D801" i="5" s="1"/>
  <c r="B769" i="5"/>
  <c r="D769" i="5" s="1"/>
  <c r="B737" i="5"/>
  <c r="D737" i="5" s="1"/>
  <c r="C618" i="5"/>
  <c r="C569" i="5"/>
  <c r="C193" i="5"/>
  <c r="B705" i="5"/>
  <c r="D705" i="5" s="1"/>
  <c r="B642" i="5"/>
  <c r="D642" i="5" s="1"/>
  <c r="B562" i="5"/>
  <c r="D562" i="5" s="1"/>
  <c r="C434" i="5"/>
  <c r="B778" i="5"/>
  <c r="D778" i="5" s="1"/>
  <c r="C778" i="5"/>
  <c r="B746" i="5"/>
  <c r="D746" i="5" s="1"/>
  <c r="C746" i="5"/>
  <c r="B682" i="5"/>
  <c r="D682" i="5" s="1"/>
  <c r="C682" i="5"/>
  <c r="B458" i="5"/>
  <c r="D458" i="5" s="1"/>
  <c r="C458" i="5"/>
  <c r="B738" i="5"/>
  <c r="D738" i="5" s="1"/>
  <c r="B554" i="5"/>
  <c r="D554" i="5" s="1"/>
  <c r="C793" i="5"/>
  <c r="B793" i="5"/>
  <c r="D793" i="5" s="1"/>
  <c r="C761" i="5"/>
  <c r="B761" i="5"/>
  <c r="D761" i="5" s="1"/>
  <c r="B177" i="5"/>
  <c r="D177" i="5" s="1"/>
  <c r="C177" i="5"/>
  <c r="B145" i="5"/>
  <c r="D145" i="5" s="1"/>
  <c r="C145" i="5"/>
  <c r="C234" i="5"/>
  <c r="C625" i="5"/>
  <c r="B490" i="5"/>
  <c r="D490" i="5" s="1"/>
  <c r="B794" i="5"/>
  <c r="D794" i="5" s="1"/>
  <c r="C794" i="5"/>
  <c r="B762" i="5"/>
  <c r="D762" i="5" s="1"/>
  <c r="C762" i="5"/>
  <c r="B730" i="5"/>
  <c r="D730" i="5" s="1"/>
  <c r="C730" i="5"/>
  <c r="B698" i="5"/>
  <c r="D698" i="5" s="1"/>
  <c r="C698" i="5"/>
  <c r="C626" i="5"/>
  <c r="B626" i="5"/>
  <c r="D626" i="5" s="1"/>
  <c r="B802" i="5"/>
  <c r="D802" i="5" s="1"/>
  <c r="C777" i="5"/>
  <c r="B777" i="5"/>
  <c r="D777" i="5" s="1"/>
  <c r="C729" i="5"/>
  <c r="B729" i="5"/>
  <c r="D729" i="5" s="1"/>
  <c r="B657" i="5"/>
  <c r="D657" i="5" s="1"/>
  <c r="C657" i="5"/>
  <c r="C617" i="5"/>
  <c r="B617" i="5"/>
  <c r="D617" i="5" s="1"/>
  <c r="B706" i="5"/>
  <c r="D706" i="5" s="1"/>
  <c r="B786" i="5"/>
  <c r="D786" i="5" s="1"/>
  <c r="B754" i="5"/>
  <c r="D754" i="5" s="1"/>
  <c r="B722" i="5"/>
  <c r="D722" i="5" s="1"/>
  <c r="B609" i="5"/>
  <c r="D609" i="5" s="1"/>
  <c r="C482" i="5"/>
  <c r="B514" i="5"/>
  <c r="D514" i="5" s="1"/>
  <c r="C514" i="5"/>
  <c r="B498" i="5"/>
  <c r="D498" i="5" s="1"/>
  <c r="C498" i="5"/>
  <c r="B466" i="5"/>
  <c r="D466" i="5" s="1"/>
  <c r="C466" i="5"/>
  <c r="B418" i="5"/>
  <c r="D418" i="5" s="1"/>
  <c r="C418" i="5"/>
  <c r="B770" i="5"/>
  <c r="D770" i="5" s="1"/>
  <c r="C697" i="5"/>
  <c r="B697" i="5"/>
  <c r="D697" i="5" s="1"/>
  <c r="B633" i="5"/>
  <c r="D633" i="5" s="1"/>
  <c r="C633" i="5"/>
  <c r="C601" i="5"/>
  <c r="B601" i="5"/>
  <c r="D601" i="5" s="1"/>
  <c r="B577" i="5"/>
  <c r="D577" i="5" s="1"/>
  <c r="C577" i="5"/>
  <c r="C385" i="5"/>
  <c r="B385" i="5"/>
  <c r="D385" i="5" s="1"/>
  <c r="C89" i="5"/>
  <c r="B785" i="5"/>
  <c r="D785" i="5" s="1"/>
  <c r="B753" i="5"/>
  <c r="D753" i="5" s="1"/>
  <c r="B721" i="5"/>
  <c r="D721" i="5" s="1"/>
  <c r="C585" i="5"/>
  <c r="B530" i="5"/>
  <c r="D530" i="5" s="1"/>
  <c r="B442" i="5"/>
  <c r="D442" i="5" s="1"/>
  <c r="B714" i="5"/>
  <c r="D714" i="5" s="1"/>
  <c r="C714" i="5"/>
  <c r="C650" i="5"/>
  <c r="B650" i="5"/>
  <c r="D650" i="5" s="1"/>
  <c r="B242" i="5"/>
  <c r="D242" i="5" s="1"/>
  <c r="C242" i="5"/>
  <c r="B401" i="5"/>
  <c r="D401" i="5" s="1"/>
  <c r="C401" i="5"/>
  <c r="C105" i="5"/>
  <c r="B105" i="5"/>
  <c r="D105" i="5" s="1"/>
  <c r="B185" i="5"/>
  <c r="D185" i="5" s="1"/>
  <c r="B129" i="5"/>
  <c r="D129" i="5" s="1"/>
  <c r="B538" i="5"/>
  <c r="D538" i="5" s="1"/>
  <c r="C522" i="5"/>
  <c r="C184" i="5"/>
  <c r="B232" i="5"/>
  <c r="D232" i="5" s="1"/>
  <c r="C568" i="5"/>
  <c r="B520" i="5"/>
  <c r="D520" i="5" s="1"/>
  <c r="B480" i="5"/>
  <c r="D480" i="5" s="1"/>
  <c r="B440" i="5"/>
  <c r="D440" i="5" s="1"/>
  <c r="C24" i="5"/>
  <c r="B304" i="5"/>
  <c r="D304" i="5" s="1"/>
  <c r="C272" i="5"/>
  <c r="B32" i="5"/>
  <c r="D32" i="5" s="1"/>
  <c r="C800" i="5"/>
  <c r="C784" i="5"/>
  <c r="C768" i="5"/>
  <c r="C752" i="5"/>
  <c r="C736" i="5"/>
  <c r="C720" i="5"/>
  <c r="C704" i="5"/>
  <c r="B616" i="5"/>
  <c r="D616" i="5" s="1"/>
  <c r="C648" i="5"/>
  <c r="B472" i="5"/>
  <c r="D472" i="5" s="1"/>
  <c r="B432" i="5"/>
  <c r="D432" i="5" s="1"/>
  <c r="C192" i="5"/>
  <c r="B368" i="5"/>
  <c r="D368" i="5" s="1"/>
  <c r="C256" i="5"/>
  <c r="C224" i="5"/>
  <c r="C664" i="5"/>
  <c r="B656" i="5"/>
  <c r="D656" i="5" s="1"/>
  <c r="B640" i="5"/>
  <c r="D640" i="5" s="1"/>
  <c r="B504" i="5"/>
  <c r="D504" i="5" s="1"/>
  <c r="B612" i="5"/>
  <c r="D612" i="5" s="1"/>
  <c r="C612" i="5"/>
  <c r="B580" i="5"/>
  <c r="D580" i="5" s="1"/>
  <c r="C580" i="5"/>
  <c r="B525" i="5"/>
  <c r="D525" i="5" s="1"/>
  <c r="C525" i="5"/>
  <c r="B586" i="5"/>
  <c r="D586" i="5" s="1"/>
  <c r="C586" i="5"/>
  <c r="B608" i="5"/>
  <c r="D608" i="5" s="1"/>
  <c r="C608" i="5"/>
  <c r="B509" i="5"/>
  <c r="D509" i="5" s="1"/>
  <c r="C509" i="5"/>
  <c r="C693" i="5"/>
  <c r="C686" i="5"/>
  <c r="C677" i="5"/>
  <c r="C670" i="5"/>
  <c r="C661" i="5"/>
  <c r="C654" i="5"/>
  <c r="C645" i="5"/>
  <c r="B604" i="5"/>
  <c r="D604" i="5" s="1"/>
  <c r="C604" i="5"/>
  <c r="B588" i="5"/>
  <c r="D588" i="5" s="1"/>
  <c r="C588" i="5"/>
  <c r="B572" i="5"/>
  <c r="D572" i="5" s="1"/>
  <c r="C572" i="5"/>
  <c r="B565" i="5"/>
  <c r="D565" i="5" s="1"/>
  <c r="C565" i="5"/>
  <c r="B501" i="5"/>
  <c r="D501" i="5" s="1"/>
  <c r="C501" i="5"/>
  <c r="B582" i="5"/>
  <c r="D582" i="5" s="1"/>
  <c r="C582" i="5"/>
  <c r="B610" i="5"/>
  <c r="D610" i="5" s="1"/>
  <c r="C610" i="5"/>
  <c r="B594" i="5"/>
  <c r="D594" i="5" s="1"/>
  <c r="C594" i="5"/>
  <c r="B578" i="5"/>
  <c r="D578" i="5" s="1"/>
  <c r="C578" i="5"/>
  <c r="B557" i="5"/>
  <c r="D557" i="5" s="1"/>
  <c r="C557" i="5"/>
  <c r="B512" i="5"/>
  <c r="D512" i="5" s="1"/>
  <c r="B493" i="5"/>
  <c r="D493" i="5" s="1"/>
  <c r="C493" i="5"/>
  <c r="B602" i="5"/>
  <c r="D602" i="5" s="1"/>
  <c r="C602" i="5"/>
  <c r="B576" i="5"/>
  <c r="D576" i="5" s="1"/>
  <c r="C576" i="5"/>
  <c r="C690" i="5"/>
  <c r="C681" i="5"/>
  <c r="C674" i="5"/>
  <c r="C665" i="5"/>
  <c r="C658" i="5"/>
  <c r="C649" i="5"/>
  <c r="B600" i="5"/>
  <c r="D600" i="5" s="1"/>
  <c r="C600" i="5"/>
  <c r="B584" i="5"/>
  <c r="D584" i="5" s="1"/>
  <c r="C584" i="5"/>
  <c r="B549" i="5"/>
  <c r="D549" i="5" s="1"/>
  <c r="C549" i="5"/>
  <c r="B485" i="5"/>
  <c r="D485" i="5" s="1"/>
  <c r="C485" i="5"/>
  <c r="B596" i="5"/>
  <c r="D596" i="5" s="1"/>
  <c r="C596" i="5"/>
  <c r="B533" i="5"/>
  <c r="D533" i="5" s="1"/>
  <c r="C533" i="5"/>
  <c r="B469" i="5"/>
  <c r="D469" i="5" s="1"/>
  <c r="C469" i="5"/>
  <c r="B592" i="5"/>
  <c r="D592" i="5" s="1"/>
  <c r="C592" i="5"/>
  <c r="B517" i="5"/>
  <c r="D517" i="5" s="1"/>
  <c r="C517" i="5"/>
  <c r="B598" i="5"/>
  <c r="D598" i="5" s="1"/>
  <c r="C598" i="5"/>
  <c r="B606" i="5"/>
  <c r="D606" i="5" s="1"/>
  <c r="C606" i="5"/>
  <c r="B590" i="5"/>
  <c r="D590" i="5" s="1"/>
  <c r="C590" i="5"/>
  <c r="B574" i="5"/>
  <c r="D574" i="5" s="1"/>
  <c r="C574" i="5"/>
  <c r="B560" i="5"/>
  <c r="D560" i="5" s="1"/>
  <c r="B541" i="5"/>
  <c r="D541" i="5" s="1"/>
  <c r="C541" i="5"/>
  <c r="B496" i="5"/>
  <c r="D496" i="5" s="1"/>
  <c r="B477" i="5"/>
  <c r="D477" i="5" s="1"/>
  <c r="C477" i="5"/>
  <c r="B424" i="5"/>
  <c r="D424" i="5" s="1"/>
  <c r="B559" i="5"/>
  <c r="D559" i="5" s="1"/>
  <c r="C559" i="5"/>
  <c r="B551" i="5"/>
  <c r="D551" i="5" s="1"/>
  <c r="C551" i="5"/>
  <c r="B543" i="5"/>
  <c r="D543" i="5" s="1"/>
  <c r="C543" i="5"/>
  <c r="B535" i="5"/>
  <c r="D535" i="5" s="1"/>
  <c r="C535" i="5"/>
  <c r="B527" i="5"/>
  <c r="D527" i="5" s="1"/>
  <c r="C527" i="5"/>
  <c r="B519" i="5"/>
  <c r="D519" i="5" s="1"/>
  <c r="C519" i="5"/>
  <c r="B511" i="5"/>
  <c r="D511" i="5" s="1"/>
  <c r="C511" i="5"/>
  <c r="B503" i="5"/>
  <c r="D503" i="5" s="1"/>
  <c r="C503" i="5"/>
  <c r="B495" i="5"/>
  <c r="D495" i="5" s="1"/>
  <c r="C495" i="5"/>
  <c r="B487" i="5"/>
  <c r="D487" i="5" s="1"/>
  <c r="C487" i="5"/>
  <c r="B479" i="5"/>
  <c r="D479" i="5" s="1"/>
  <c r="C479" i="5"/>
  <c r="B471" i="5"/>
  <c r="D471" i="5" s="1"/>
  <c r="C471" i="5"/>
  <c r="B463" i="5"/>
  <c r="D463" i="5" s="1"/>
  <c r="C463" i="5"/>
  <c r="C570" i="5"/>
  <c r="B561" i="5"/>
  <c r="D561" i="5" s="1"/>
  <c r="C561" i="5"/>
  <c r="C558" i="5"/>
  <c r="B553" i="5"/>
  <c r="D553" i="5" s="1"/>
  <c r="C553" i="5"/>
  <c r="C550" i="5"/>
  <c r="B545" i="5"/>
  <c r="D545" i="5" s="1"/>
  <c r="C545" i="5"/>
  <c r="C542" i="5"/>
  <c r="B537" i="5"/>
  <c r="D537" i="5" s="1"/>
  <c r="C537" i="5"/>
  <c r="C534" i="5"/>
  <c r="B529" i="5"/>
  <c r="D529" i="5" s="1"/>
  <c r="C529" i="5"/>
  <c r="B521" i="5"/>
  <c r="D521" i="5" s="1"/>
  <c r="C521" i="5"/>
  <c r="B513" i="5"/>
  <c r="D513" i="5" s="1"/>
  <c r="C513" i="5"/>
  <c r="B505" i="5"/>
  <c r="D505" i="5" s="1"/>
  <c r="C505" i="5"/>
  <c r="B497" i="5"/>
  <c r="D497" i="5" s="1"/>
  <c r="C497" i="5"/>
  <c r="B489" i="5"/>
  <c r="D489" i="5" s="1"/>
  <c r="C489" i="5"/>
  <c r="B481" i="5"/>
  <c r="D481" i="5" s="1"/>
  <c r="C481" i="5"/>
  <c r="B473" i="5"/>
  <c r="D473" i="5" s="1"/>
  <c r="C473" i="5"/>
  <c r="B465" i="5"/>
  <c r="D465" i="5" s="1"/>
  <c r="C465" i="5"/>
  <c r="C563" i="5"/>
  <c r="B555" i="5"/>
  <c r="D555" i="5" s="1"/>
  <c r="C555" i="5"/>
  <c r="B547" i="5"/>
  <c r="D547" i="5" s="1"/>
  <c r="C547" i="5"/>
  <c r="B539" i="5"/>
  <c r="D539" i="5" s="1"/>
  <c r="C539" i="5"/>
  <c r="B531" i="5"/>
  <c r="D531" i="5" s="1"/>
  <c r="C531" i="5"/>
  <c r="B523" i="5"/>
  <c r="D523" i="5" s="1"/>
  <c r="C523" i="5"/>
  <c r="B515" i="5"/>
  <c r="D515" i="5" s="1"/>
  <c r="C515" i="5"/>
  <c r="B507" i="5"/>
  <c r="D507" i="5" s="1"/>
  <c r="C507" i="5"/>
  <c r="B499" i="5"/>
  <c r="D499" i="5" s="1"/>
  <c r="C499" i="5"/>
  <c r="B491" i="5"/>
  <c r="D491" i="5" s="1"/>
  <c r="C491" i="5"/>
  <c r="B483" i="5"/>
  <c r="D483" i="5" s="1"/>
  <c r="C483" i="5"/>
  <c r="B475" i="5"/>
  <c r="D475" i="5" s="1"/>
  <c r="C475" i="5"/>
  <c r="B467" i="5"/>
  <c r="D467" i="5" s="1"/>
  <c r="C467" i="5"/>
  <c r="C461" i="5"/>
  <c r="C459" i="5"/>
  <c r="C457" i="5"/>
  <c r="C455" i="5"/>
  <c r="C453" i="5"/>
  <c r="C451" i="5"/>
  <c r="C449" i="5"/>
  <c r="C447" i="5"/>
  <c r="C445" i="5"/>
  <c r="C443" i="5"/>
  <c r="C441" i="5"/>
  <c r="C439" i="5"/>
  <c r="C437" i="5"/>
  <c r="C435" i="5"/>
  <c r="C433" i="5"/>
  <c r="C431" i="5"/>
  <c r="C429" i="5"/>
  <c r="C427" i="5"/>
  <c r="C425" i="5"/>
  <c r="C423" i="5"/>
  <c r="C421" i="5"/>
  <c r="C419" i="5"/>
  <c r="C417" i="5"/>
  <c r="C415" i="5"/>
  <c r="C413" i="5"/>
  <c r="C411" i="5"/>
  <c r="C409" i="5"/>
  <c r="C407" i="5"/>
  <c r="C405" i="5"/>
  <c r="C403" i="5"/>
  <c r="B34" i="5"/>
  <c r="D34" i="5" s="1"/>
  <c r="B18" i="5"/>
  <c r="D18" i="5" s="1"/>
  <c r="C378" i="5"/>
  <c r="B49" i="5"/>
  <c r="D49" i="5" s="1"/>
  <c r="B41" i="5"/>
  <c r="D41" i="5" s="1"/>
  <c r="B33" i="5"/>
  <c r="D33" i="5" s="1"/>
  <c r="B25" i="5"/>
  <c r="D25" i="5" s="1"/>
  <c r="B17" i="5"/>
  <c r="D17" i="5" s="1"/>
  <c r="B9" i="5"/>
  <c r="D9" i="5" s="1"/>
  <c r="C113" i="5"/>
  <c r="C97" i="5"/>
  <c r="C81" i="5"/>
  <c r="C65" i="5"/>
  <c r="C400" i="5"/>
  <c r="B394" i="5"/>
  <c r="D394" i="5" s="1"/>
  <c r="C384" i="5"/>
  <c r="C266" i="5"/>
  <c r="C250" i="5"/>
  <c r="C236" i="5"/>
  <c r="B210" i="5"/>
  <c r="D210" i="5" s="1"/>
  <c r="B10" i="5"/>
  <c r="D10" i="5" s="1"/>
  <c r="C58" i="5"/>
  <c r="C137" i="5"/>
  <c r="C121" i="5"/>
  <c r="C244" i="5"/>
  <c r="C240" i="5"/>
  <c r="C218" i="5"/>
  <c r="C204" i="5"/>
  <c r="B42" i="5"/>
  <c r="D42" i="5" s="1"/>
  <c r="B26" i="5"/>
  <c r="D26" i="5" s="1"/>
  <c r="C169" i="5"/>
  <c r="C153" i="5"/>
  <c r="C194" i="5"/>
  <c r="C186" i="5"/>
  <c r="C178" i="5"/>
  <c r="C170" i="5"/>
  <c r="C393" i="5"/>
  <c r="C377" i="5"/>
  <c r="C346" i="5"/>
  <c r="C226" i="5"/>
  <c r="C57" i="5"/>
  <c r="C402" i="5"/>
  <c r="C386" i="5"/>
  <c r="C369" i="5"/>
  <c r="C361" i="5"/>
  <c r="C352" i="5"/>
  <c r="C330" i="5"/>
  <c r="C314" i="5"/>
  <c r="C298" i="5"/>
  <c r="C282" i="5"/>
  <c r="C208" i="5"/>
  <c r="B50" i="5"/>
  <c r="D50" i="5" s="1"/>
  <c r="B327" i="5"/>
  <c r="D327" i="5" s="1"/>
  <c r="C327" i="5"/>
  <c r="B311" i="5"/>
  <c r="D311" i="5" s="1"/>
  <c r="C311" i="5"/>
  <c r="B295" i="5"/>
  <c r="D295" i="5" s="1"/>
  <c r="C295" i="5"/>
  <c r="B349" i="5"/>
  <c r="D349" i="5" s="1"/>
  <c r="C349" i="5"/>
  <c r="B333" i="5"/>
  <c r="D333" i="5" s="1"/>
  <c r="C333" i="5"/>
  <c r="B317" i="5"/>
  <c r="D317" i="5" s="1"/>
  <c r="C317" i="5"/>
  <c r="B301" i="5"/>
  <c r="D301" i="5" s="1"/>
  <c r="C301" i="5"/>
  <c r="B285" i="5"/>
  <c r="D285" i="5" s="1"/>
  <c r="C285" i="5"/>
  <c r="B321" i="5"/>
  <c r="D321" i="5" s="1"/>
  <c r="C321" i="5"/>
  <c r="B305" i="5"/>
  <c r="D305" i="5" s="1"/>
  <c r="C305" i="5"/>
  <c r="B339" i="5"/>
  <c r="D339" i="5" s="1"/>
  <c r="C339" i="5"/>
  <c r="B323" i="5"/>
  <c r="D323" i="5" s="1"/>
  <c r="C323" i="5"/>
  <c r="B307" i="5"/>
  <c r="D307" i="5" s="1"/>
  <c r="C307" i="5"/>
  <c r="B291" i="5"/>
  <c r="D291" i="5" s="1"/>
  <c r="C291" i="5"/>
  <c r="B279" i="5"/>
  <c r="D279" i="5" s="1"/>
  <c r="C279" i="5"/>
  <c r="B345" i="5"/>
  <c r="D345" i="5" s="1"/>
  <c r="C345" i="5"/>
  <c r="B329" i="5"/>
  <c r="D329" i="5" s="1"/>
  <c r="C329" i="5"/>
  <c r="B313" i="5"/>
  <c r="D313" i="5" s="1"/>
  <c r="C313" i="5"/>
  <c r="B297" i="5"/>
  <c r="D297" i="5" s="1"/>
  <c r="C297" i="5"/>
  <c r="B281" i="5"/>
  <c r="D281" i="5" s="1"/>
  <c r="C281" i="5"/>
  <c r="B337" i="5"/>
  <c r="D337" i="5" s="1"/>
  <c r="C337" i="5"/>
  <c r="C370" i="5"/>
  <c r="C362" i="5"/>
  <c r="C354" i="5"/>
  <c r="B351" i="5"/>
  <c r="D351" i="5" s="1"/>
  <c r="C351" i="5"/>
  <c r="C338" i="5"/>
  <c r="B335" i="5"/>
  <c r="D335" i="5" s="1"/>
  <c r="C335" i="5"/>
  <c r="C322" i="5"/>
  <c r="B319" i="5"/>
  <c r="D319" i="5" s="1"/>
  <c r="C319" i="5"/>
  <c r="C306" i="5"/>
  <c r="B303" i="5"/>
  <c r="D303" i="5" s="1"/>
  <c r="C303" i="5"/>
  <c r="C290" i="5"/>
  <c r="B287" i="5"/>
  <c r="D287" i="5" s="1"/>
  <c r="C287" i="5"/>
  <c r="C274" i="5"/>
  <c r="C258" i="5"/>
  <c r="B353" i="5"/>
  <c r="D353" i="5" s="1"/>
  <c r="C353" i="5"/>
  <c r="B289" i="5"/>
  <c r="D289" i="5" s="1"/>
  <c r="C289" i="5"/>
  <c r="B343" i="5"/>
  <c r="D343" i="5" s="1"/>
  <c r="C343" i="5"/>
  <c r="C367" i="5"/>
  <c r="C359" i="5"/>
  <c r="C344" i="5"/>
  <c r="B341" i="5"/>
  <c r="D341" i="5" s="1"/>
  <c r="C341" i="5"/>
  <c r="C328" i="5"/>
  <c r="B325" i="5"/>
  <c r="D325" i="5" s="1"/>
  <c r="C325" i="5"/>
  <c r="C312" i="5"/>
  <c r="B309" i="5"/>
  <c r="D309" i="5" s="1"/>
  <c r="C309" i="5"/>
  <c r="C296" i="5"/>
  <c r="B293" i="5"/>
  <c r="D293" i="5" s="1"/>
  <c r="C293" i="5"/>
  <c r="C280" i="5"/>
  <c r="B277" i="5"/>
  <c r="D277" i="5" s="1"/>
  <c r="C277" i="5"/>
  <c r="C264" i="5"/>
  <c r="C248" i="5"/>
  <c r="B347" i="5"/>
  <c r="D347" i="5" s="1"/>
  <c r="C347" i="5"/>
  <c r="B331" i="5"/>
  <c r="D331" i="5" s="1"/>
  <c r="C331" i="5"/>
  <c r="B315" i="5"/>
  <c r="D315" i="5" s="1"/>
  <c r="C315" i="5"/>
  <c r="B299" i="5"/>
  <c r="D299" i="5" s="1"/>
  <c r="C299" i="5"/>
  <c r="B283" i="5"/>
  <c r="D283" i="5" s="1"/>
  <c r="C283" i="5"/>
  <c r="C275" i="5"/>
  <c r="C273" i="5"/>
  <c r="C271" i="5"/>
  <c r="C269" i="5"/>
  <c r="C267" i="5"/>
  <c r="C265" i="5"/>
  <c r="C263" i="5"/>
  <c r="C261" i="5"/>
  <c r="C259" i="5"/>
  <c r="C257" i="5"/>
  <c r="C255" i="5"/>
  <c r="C253" i="5"/>
  <c r="C251" i="5"/>
  <c r="C249" i="5"/>
  <c r="C247" i="5"/>
  <c r="C245" i="5"/>
  <c r="C243" i="5"/>
  <c r="C241" i="5"/>
  <c r="C239" i="5"/>
  <c r="C237" i="5"/>
  <c r="C235" i="5"/>
  <c r="C233" i="5"/>
  <c r="C231" i="5"/>
  <c r="C229" i="5"/>
  <c r="C227" i="5"/>
  <c r="C225" i="5"/>
  <c r="C223" i="5"/>
  <c r="C221" i="5"/>
  <c r="C219" i="5"/>
  <c r="C217" i="5"/>
  <c r="C215" i="5"/>
  <c r="C213" i="5"/>
  <c r="C211" i="5"/>
  <c r="C209" i="5"/>
  <c r="C207" i="5"/>
  <c r="C205" i="5"/>
  <c r="C203" i="5"/>
  <c r="C202" i="5"/>
  <c r="C201" i="5"/>
  <c r="C200" i="5"/>
  <c r="C168" i="5"/>
  <c r="C166" i="5"/>
  <c r="C164" i="5"/>
  <c r="C162" i="5"/>
  <c r="C160" i="5"/>
  <c r="C158" i="5"/>
  <c r="C156" i="5"/>
  <c r="C154" i="5"/>
  <c r="C152" i="5"/>
  <c r="C150" i="5"/>
  <c r="C148" i="5"/>
  <c r="C146" i="5"/>
  <c r="C144" i="5"/>
  <c r="C142" i="5"/>
  <c r="C140" i="5"/>
  <c r="C138" i="5"/>
  <c r="C136" i="5"/>
  <c r="C134" i="5"/>
  <c r="C132" i="5"/>
  <c r="C130" i="5"/>
  <c r="C128" i="5"/>
  <c r="C126" i="5"/>
  <c r="C124" i="5"/>
  <c r="C122" i="5"/>
  <c r="C120" i="5"/>
  <c r="C118" i="5"/>
  <c r="C116" i="5"/>
  <c r="C114" i="5"/>
  <c r="C112" i="5"/>
  <c r="C110" i="5"/>
  <c r="C108" i="5"/>
  <c r="C106" i="5"/>
  <c r="C104" i="5"/>
  <c r="C102" i="5"/>
  <c r="C100" i="5"/>
  <c r="C98" i="5"/>
  <c r="C96" i="5"/>
  <c r="C94" i="5"/>
  <c r="C92" i="5"/>
  <c r="C90" i="5"/>
  <c r="C88" i="5"/>
  <c r="C86" i="5"/>
  <c r="C84" i="5"/>
  <c r="C82" i="5"/>
  <c r="C80" i="5"/>
  <c r="C78" i="5"/>
  <c r="C76" i="5"/>
  <c r="C74" i="5"/>
  <c r="C72" i="5"/>
  <c r="C70" i="5"/>
  <c r="C68" i="5"/>
  <c r="C66" i="5"/>
  <c r="C64" i="5"/>
  <c r="D34" i="4"/>
  <c r="D122" i="4"/>
  <c r="D18" i="4"/>
  <c r="D130" i="4"/>
  <c r="D178" i="4"/>
  <c r="D98" i="4"/>
  <c r="D97" i="4"/>
  <c r="D66" i="4"/>
  <c r="D160" i="4"/>
  <c r="D177" i="4"/>
  <c r="D129" i="4"/>
  <c r="D176" i="4"/>
  <c r="D153" i="4"/>
  <c r="D89" i="4"/>
  <c r="D65" i="4"/>
  <c r="D90" i="4"/>
  <c r="D170" i="4"/>
  <c r="D57" i="4"/>
  <c r="D192" i="4"/>
  <c r="D169" i="4"/>
  <c r="D146" i="4"/>
  <c r="D114" i="4"/>
  <c r="D82" i="4"/>
  <c r="D50" i="4"/>
  <c r="D58" i="4"/>
  <c r="D16" i="4"/>
  <c r="D56" i="4"/>
  <c r="D80" i="4"/>
  <c r="D104" i="4"/>
  <c r="D128" i="4"/>
  <c r="D8" i="4"/>
  <c r="D32" i="4"/>
  <c r="D40" i="4"/>
  <c r="D64" i="4"/>
  <c r="D88" i="4"/>
  <c r="D112" i="4"/>
  <c r="D136" i="4"/>
  <c r="D24" i="4"/>
  <c r="D48" i="4"/>
  <c r="D72" i="4"/>
  <c r="D96" i="4"/>
  <c r="D120" i="4"/>
  <c r="D144" i="4"/>
  <c r="D193" i="4"/>
  <c r="D152" i="4"/>
  <c r="D121" i="4"/>
  <c r="D25" i="4"/>
  <c r="D186" i="4"/>
  <c r="D168" i="4"/>
  <c r="D145" i="4"/>
  <c r="D113" i="4"/>
  <c r="D81" i="4"/>
  <c r="D49" i="4"/>
  <c r="D17" i="4"/>
  <c r="D200" i="4"/>
  <c r="D33" i="4"/>
  <c r="D26" i="4"/>
  <c r="D185" i="4"/>
  <c r="D162" i="4"/>
  <c r="D138" i="4"/>
  <c r="D106" i="4"/>
  <c r="D74" i="4"/>
  <c r="D42" i="4"/>
  <c r="D10" i="4"/>
  <c r="D154" i="4"/>
  <c r="D194" i="4"/>
  <c r="D3" i="4"/>
  <c r="D184" i="4"/>
  <c r="D161" i="4"/>
  <c r="D137" i="4"/>
  <c r="D105" i="4"/>
  <c r="D73" i="4"/>
  <c r="D41" i="4"/>
  <c r="D9" i="4"/>
  <c r="D191" i="4"/>
  <c r="D175" i="4"/>
  <c r="D159" i="4"/>
  <c r="D143" i="4"/>
  <c r="D127" i="4"/>
  <c r="D111" i="4"/>
  <c r="D87" i="4"/>
  <c r="D71" i="4"/>
  <c r="D55" i="4"/>
  <c r="D31" i="4"/>
  <c r="D7" i="4"/>
  <c r="D198" i="4"/>
  <c r="D190" i="4"/>
  <c r="D182" i="4"/>
  <c r="D174" i="4"/>
  <c r="D166" i="4"/>
  <c r="D158" i="4"/>
  <c r="D150" i="4"/>
  <c r="D142" i="4"/>
  <c r="D134" i="4"/>
  <c r="D126" i="4"/>
  <c r="D118" i="4"/>
  <c r="D110" i="4"/>
  <c r="D102" i="4"/>
  <c r="D94" i="4"/>
  <c r="D86" i="4"/>
  <c r="D78" i="4"/>
  <c r="D70" i="4"/>
  <c r="D62" i="4"/>
  <c r="D54" i="4"/>
  <c r="D46" i="4"/>
  <c r="D38" i="4"/>
  <c r="D30" i="4"/>
  <c r="D22" i="4"/>
  <c r="D14" i="4"/>
  <c r="D6" i="4"/>
  <c r="D2" i="4"/>
  <c r="D199" i="4"/>
  <c r="D183" i="4"/>
  <c r="D167" i="4"/>
  <c r="D151" i="4"/>
  <c r="D135" i="4"/>
  <c r="D119" i="4"/>
  <c r="D103" i="4"/>
  <c r="D95" i="4"/>
  <c r="D79" i="4"/>
  <c r="D63" i="4"/>
  <c r="D47" i="4"/>
  <c r="D39" i="4"/>
  <c r="D23" i="4"/>
  <c r="D15" i="4"/>
  <c r="D197" i="4"/>
  <c r="D189" i="4"/>
  <c r="D181" i="4"/>
  <c r="D173" i="4"/>
  <c r="D165" i="4"/>
  <c r="D157" i="4"/>
  <c r="D149" i="4"/>
  <c r="D141" i="4"/>
  <c r="D133" i="4"/>
  <c r="D125" i="4"/>
  <c r="D117" i="4"/>
  <c r="D109" i="4"/>
  <c r="D101" i="4"/>
  <c r="D93" i="4"/>
  <c r="D85" i="4"/>
  <c r="D77" i="4"/>
  <c r="D69" i="4"/>
  <c r="D61" i="4"/>
  <c r="D53" i="4"/>
  <c r="D45" i="4"/>
  <c r="D37" i="4"/>
  <c r="D29" i="4"/>
  <c r="D21" i="4"/>
  <c r="D13" i="4"/>
  <c r="D5" i="4"/>
  <c r="D196" i="4"/>
  <c r="D188" i="4"/>
  <c r="D180" i="4"/>
  <c r="D172" i="4"/>
  <c r="D164" i="4"/>
  <c r="D156" i="4"/>
  <c r="D148" i="4"/>
  <c r="D140" i="4"/>
  <c r="D132" i="4"/>
  <c r="D124" i="4"/>
  <c r="D116" i="4"/>
  <c r="D108" i="4"/>
  <c r="D100" i="4"/>
  <c r="D92" i="4"/>
  <c r="D84" i="4"/>
  <c r="D76" i="4"/>
  <c r="D68" i="4"/>
  <c r="D60" i="4"/>
  <c r="D52" i="4"/>
  <c r="D44" i="4"/>
  <c r="D36" i="4"/>
  <c r="D28" i="4"/>
  <c r="D20" i="4"/>
  <c r="D12" i="4"/>
  <c r="D4" i="4"/>
  <c r="D195" i="4"/>
  <c r="D187" i="4"/>
  <c r="D179" i="4"/>
  <c r="D171" i="4"/>
  <c r="D163" i="4"/>
  <c r="D155" i="4"/>
  <c r="D147" i="4"/>
  <c r="D139" i="4"/>
  <c r="D131" i="4"/>
  <c r="D123" i="4"/>
  <c r="D115" i="4"/>
  <c r="D107" i="4"/>
  <c r="D99" i="4"/>
  <c r="D91" i="4"/>
  <c r="D83" i="4"/>
  <c r="D75" i="4"/>
  <c r="D67" i="4"/>
  <c r="D59" i="4"/>
  <c r="D51" i="4"/>
  <c r="D43" i="4"/>
  <c r="D35" i="4"/>
  <c r="D27" i="4"/>
  <c r="D19" i="4"/>
  <c r="D11" i="4"/>
  <c r="E4" i="4" l="1"/>
  <c r="E45" i="4"/>
  <c r="E125" i="4"/>
  <c r="E15" i="4"/>
  <c r="E151" i="4"/>
  <c r="E46" i="4"/>
  <c r="E126" i="4"/>
  <c r="E7" i="4"/>
  <c r="E191" i="4"/>
  <c r="E154" i="4"/>
  <c r="E200" i="4"/>
  <c r="E152" i="4"/>
  <c r="E88" i="4"/>
  <c r="E58" i="4"/>
  <c r="E65" i="4"/>
  <c r="E178" i="4"/>
  <c r="E131" i="4"/>
  <c r="E9" i="4"/>
  <c r="E10" i="4"/>
  <c r="E17" i="4"/>
  <c r="E193" i="4"/>
  <c r="E64" i="4"/>
  <c r="E50" i="4"/>
  <c r="E89" i="4"/>
  <c r="E130" i="4"/>
  <c r="E53" i="4"/>
  <c r="E54" i="4"/>
  <c r="E139" i="4"/>
  <c r="E61" i="4"/>
  <c r="E39" i="4"/>
  <c r="E183" i="4"/>
  <c r="E62" i="4"/>
  <c r="E142" i="4"/>
  <c r="E55" i="4"/>
  <c r="E41" i="4"/>
  <c r="E42" i="4"/>
  <c r="E49" i="4"/>
  <c r="E144" i="4"/>
  <c r="E40" i="4"/>
  <c r="E82" i="4"/>
  <c r="E153" i="4"/>
  <c r="E18" i="4"/>
  <c r="E84" i="4"/>
  <c r="E167" i="4"/>
  <c r="E134" i="4"/>
  <c r="E188" i="4"/>
  <c r="E69" i="4"/>
  <c r="E149" i="4"/>
  <c r="E47" i="4"/>
  <c r="E199" i="4"/>
  <c r="E70" i="4"/>
  <c r="E150" i="4"/>
  <c r="E71" i="4"/>
  <c r="E73" i="4"/>
  <c r="E74" i="4"/>
  <c r="E81" i="4"/>
  <c r="E120" i="4"/>
  <c r="E32" i="4"/>
  <c r="E114" i="4"/>
  <c r="E176" i="4"/>
  <c r="E122" i="4"/>
  <c r="E43" i="4"/>
  <c r="E172" i="4"/>
  <c r="E116" i="4"/>
  <c r="E196" i="4"/>
  <c r="E77" i="4"/>
  <c r="E157" i="4"/>
  <c r="E63" i="4"/>
  <c r="E2" i="4"/>
  <c r="B12" i="7"/>
  <c r="B13" i="2"/>
  <c r="E78" i="4"/>
  <c r="E158" i="4"/>
  <c r="E87" i="4"/>
  <c r="E105" i="4"/>
  <c r="E106" i="4"/>
  <c r="E113" i="4"/>
  <c r="E96" i="4"/>
  <c r="E8" i="4"/>
  <c r="E146" i="4"/>
  <c r="E129" i="4"/>
  <c r="E34" i="4"/>
  <c r="E12" i="4"/>
  <c r="E67" i="4"/>
  <c r="E83" i="4"/>
  <c r="E165" i="4"/>
  <c r="E6" i="4"/>
  <c r="E86" i="4"/>
  <c r="E166" i="4"/>
  <c r="E111" i="4"/>
  <c r="E137" i="4"/>
  <c r="E138" i="4"/>
  <c r="E145" i="4"/>
  <c r="E72" i="4"/>
  <c r="E128" i="4"/>
  <c r="E169" i="4"/>
  <c r="E177" i="4"/>
  <c r="E164" i="4"/>
  <c r="E133" i="4"/>
  <c r="E31" i="4"/>
  <c r="E100" i="4"/>
  <c r="E147" i="4"/>
  <c r="E75" i="4"/>
  <c r="E44" i="4"/>
  <c r="E5" i="4"/>
  <c r="E11" i="4"/>
  <c r="E132" i="4"/>
  <c r="E174" i="4"/>
  <c r="E161" i="4"/>
  <c r="E162" i="4"/>
  <c r="E168" i="4"/>
  <c r="E48" i="4"/>
  <c r="E104" i="4"/>
  <c r="E192" i="4"/>
  <c r="E160" i="4"/>
  <c r="E123" i="4"/>
  <c r="E23" i="4"/>
  <c r="E59" i="4"/>
  <c r="E20" i="4"/>
  <c r="E180" i="4"/>
  <c r="E108" i="4"/>
  <c r="E36" i="4"/>
  <c r="E85" i="4"/>
  <c r="E79" i="4"/>
  <c r="E171" i="4"/>
  <c r="E52" i="4"/>
  <c r="E13" i="4"/>
  <c r="E95" i="4"/>
  <c r="E94" i="4"/>
  <c r="E127" i="4"/>
  <c r="E19" i="4"/>
  <c r="E99" i="4"/>
  <c r="E179" i="4"/>
  <c r="E140" i="4"/>
  <c r="E21" i="4"/>
  <c r="E101" i="4"/>
  <c r="E181" i="4"/>
  <c r="E103" i="4"/>
  <c r="E22" i="4"/>
  <c r="E102" i="4"/>
  <c r="E182" i="4"/>
  <c r="E143" i="4"/>
  <c r="E184" i="4"/>
  <c r="E185" i="4"/>
  <c r="E186" i="4"/>
  <c r="E24" i="4"/>
  <c r="E80" i="4"/>
  <c r="E57" i="4"/>
  <c r="E66" i="4"/>
  <c r="E92" i="4"/>
  <c r="E141" i="4"/>
  <c r="E155" i="4"/>
  <c r="E163" i="4"/>
  <c r="E124" i="4"/>
  <c r="E91" i="4"/>
  <c r="E93" i="4"/>
  <c r="E173" i="4"/>
  <c r="E148" i="4"/>
  <c r="E29" i="4"/>
  <c r="E109" i="4"/>
  <c r="E189" i="4"/>
  <c r="E119" i="4"/>
  <c r="E30" i="4"/>
  <c r="E110" i="4"/>
  <c r="E190" i="4"/>
  <c r="E159" i="4"/>
  <c r="E3" i="4"/>
  <c r="E26" i="4"/>
  <c r="E25" i="4"/>
  <c r="E136" i="4"/>
  <c r="E56" i="4"/>
  <c r="E170" i="4"/>
  <c r="E97" i="4"/>
  <c r="E51" i="4"/>
  <c r="E28" i="4"/>
  <c r="E14" i="4"/>
  <c r="E60" i="4"/>
  <c r="E27" i="4"/>
  <c r="E107" i="4"/>
  <c r="E187" i="4"/>
  <c r="E68" i="4"/>
  <c r="E35" i="4"/>
  <c r="E115" i="4"/>
  <c r="E195" i="4"/>
  <c r="E76" i="4"/>
  <c r="E156" i="4"/>
  <c r="E37" i="4"/>
  <c r="E117" i="4"/>
  <c r="E197" i="4"/>
  <c r="E135" i="4"/>
  <c r="E38" i="4"/>
  <c r="E118" i="4"/>
  <c r="E198" i="4"/>
  <c r="E175" i="4"/>
  <c r="E194" i="4"/>
  <c r="E33" i="4"/>
  <c r="E121" i="4"/>
  <c r="E112" i="4"/>
  <c r="E16" i="4"/>
  <c r="E90" i="4"/>
  <c r="E98" i="4"/>
  <c r="F155" i="4"/>
  <c r="F44" i="4"/>
  <c r="F125" i="4"/>
  <c r="F198" i="4"/>
  <c r="F193" i="4"/>
  <c r="F90" i="4"/>
  <c r="F35" i="4"/>
  <c r="F180" i="4"/>
  <c r="F151" i="4"/>
  <c r="F168" i="4"/>
  <c r="F80" i="4"/>
  <c r="F51" i="4"/>
  <c r="F4" i="4"/>
  <c r="F68" i="4"/>
  <c r="F21" i="4"/>
  <c r="F183" i="4"/>
  <c r="F158" i="4"/>
  <c r="F67" i="4"/>
  <c r="F131" i="4"/>
  <c r="F195" i="4"/>
  <c r="F20" i="4"/>
  <c r="F84" i="4"/>
  <c r="F148" i="4"/>
  <c r="F37" i="4"/>
  <c r="F101" i="4"/>
  <c r="F165" i="4"/>
  <c r="F95" i="4"/>
  <c r="F46" i="4"/>
  <c r="F110" i="4"/>
  <c r="F174" i="4"/>
  <c r="F143" i="4"/>
  <c r="F73" i="4"/>
  <c r="F194" i="4"/>
  <c r="F185" i="4"/>
  <c r="F49" i="4"/>
  <c r="F25" i="4"/>
  <c r="F72" i="4"/>
  <c r="F32" i="4"/>
  <c r="F50" i="4"/>
  <c r="F57" i="4"/>
  <c r="F89" i="4"/>
  <c r="F98" i="4"/>
  <c r="F189" i="4"/>
  <c r="F70" i="4"/>
  <c r="F161" i="4"/>
  <c r="F26" i="4"/>
  <c r="F146" i="4"/>
  <c r="F99" i="4"/>
  <c r="F52" i="4"/>
  <c r="F133" i="4"/>
  <c r="F78" i="4"/>
  <c r="F33" i="4"/>
  <c r="F169" i="4"/>
  <c r="F132" i="4"/>
  <c r="F30" i="4"/>
  <c r="F9" i="4"/>
  <c r="F138" i="4"/>
  <c r="F11" i="4"/>
  <c r="F75" i="4"/>
  <c r="F139" i="4"/>
  <c r="F28" i="4"/>
  <c r="F92" i="4"/>
  <c r="F156" i="4"/>
  <c r="F45" i="4"/>
  <c r="F109" i="4"/>
  <c r="F173" i="4"/>
  <c r="F103" i="4"/>
  <c r="F54" i="4"/>
  <c r="F118" i="4"/>
  <c r="F182" i="4"/>
  <c r="F7" i="4"/>
  <c r="F159" i="4"/>
  <c r="F105" i="4"/>
  <c r="F154" i="4"/>
  <c r="F81" i="4"/>
  <c r="F121" i="4"/>
  <c r="F48" i="4"/>
  <c r="F8" i="4"/>
  <c r="F82" i="4"/>
  <c r="F170" i="4"/>
  <c r="F153" i="4"/>
  <c r="F178" i="4"/>
  <c r="F134" i="4"/>
  <c r="F136" i="4"/>
  <c r="F69" i="4"/>
  <c r="F14" i="4"/>
  <c r="F179" i="4"/>
  <c r="F149" i="4"/>
  <c r="F19" i="4"/>
  <c r="F83" i="4"/>
  <c r="F147" i="4"/>
  <c r="F36" i="4"/>
  <c r="F100" i="4"/>
  <c r="F164" i="4"/>
  <c r="F53" i="4"/>
  <c r="F117" i="4"/>
  <c r="F181" i="4"/>
  <c r="F15" i="4"/>
  <c r="F119" i="4"/>
  <c r="F2" i="4"/>
  <c r="F62" i="4"/>
  <c r="F126" i="4"/>
  <c r="F190" i="4"/>
  <c r="F31" i="4"/>
  <c r="F175" i="4"/>
  <c r="F137" i="4"/>
  <c r="F10" i="4"/>
  <c r="F113" i="4"/>
  <c r="F152" i="4"/>
  <c r="F24" i="4"/>
  <c r="F128" i="4"/>
  <c r="F114" i="4"/>
  <c r="F176" i="4"/>
  <c r="F130" i="4"/>
  <c r="F18" i="4"/>
  <c r="F122" i="4"/>
  <c r="F27" i="4"/>
  <c r="F172" i="4"/>
  <c r="F135" i="4"/>
  <c r="F6" i="4"/>
  <c r="F55" i="4"/>
  <c r="F42" i="4"/>
  <c r="F129" i="4"/>
  <c r="F197" i="4"/>
  <c r="F184" i="4"/>
  <c r="F177" i="4"/>
  <c r="F43" i="4"/>
  <c r="F107" i="4"/>
  <c r="F171" i="4"/>
  <c r="F60" i="4"/>
  <c r="F124" i="4"/>
  <c r="F188" i="4"/>
  <c r="F13" i="4"/>
  <c r="F77" i="4"/>
  <c r="F141" i="4"/>
  <c r="F47" i="4"/>
  <c r="F167" i="4"/>
  <c r="F22" i="4"/>
  <c r="F86" i="4"/>
  <c r="F150" i="4"/>
  <c r="F87" i="4"/>
  <c r="F106" i="4"/>
  <c r="F200" i="4"/>
  <c r="F186" i="4"/>
  <c r="F144" i="4"/>
  <c r="F88" i="4"/>
  <c r="F56" i="4"/>
  <c r="F192" i="4"/>
  <c r="F65" i="4"/>
  <c r="F160" i="4"/>
  <c r="F66" i="4"/>
  <c r="F91" i="4"/>
  <c r="F108" i="4"/>
  <c r="F61" i="4"/>
  <c r="F23" i="4"/>
  <c r="F191" i="4"/>
  <c r="F145" i="4"/>
  <c r="F104" i="4"/>
  <c r="F163" i="4"/>
  <c r="F116" i="4"/>
  <c r="F5" i="4"/>
  <c r="F39" i="4"/>
  <c r="F142" i="4"/>
  <c r="F71" i="4"/>
  <c r="F74" i="4"/>
  <c r="F112" i="4"/>
  <c r="F115" i="4"/>
  <c r="F196" i="4"/>
  <c r="F85" i="4"/>
  <c r="F63" i="4"/>
  <c r="F94" i="4"/>
  <c r="F111" i="4"/>
  <c r="F120" i="4"/>
  <c r="F64" i="4"/>
  <c r="F16" i="4"/>
  <c r="F59" i="4"/>
  <c r="F123" i="4"/>
  <c r="F187" i="4"/>
  <c r="F12" i="4"/>
  <c r="F76" i="4"/>
  <c r="F140" i="4"/>
  <c r="F29" i="4"/>
  <c r="F93" i="4"/>
  <c r="F157" i="4"/>
  <c r="F79" i="4"/>
  <c r="F199" i="4"/>
  <c r="F38" i="4"/>
  <c r="F102" i="4"/>
  <c r="F166" i="4"/>
  <c r="F127" i="4"/>
  <c r="F41" i="4"/>
  <c r="F3" i="4"/>
  <c r="F162" i="4"/>
  <c r="F17" i="4"/>
  <c r="F96" i="4"/>
  <c r="F40" i="4"/>
  <c r="F58" i="4"/>
  <c r="F97" i="4"/>
  <c r="F34" i="4"/>
  <c r="C12" i="7" l="1" a="1"/>
  <c r="C12" i="7" s="1"/>
  <c r="C3" i="7" s="1"/>
  <c r="C2" i="7" l="1"/>
  <c r="C4" i="7"/>
  <c r="C6" i="7"/>
  <c r="C5" i="7"/>
  <c r="C7" i="7"/>
  <c r="C8" i="2" l="1" a="1"/>
  <c r="C8" i="2" s="1"/>
  <c r="C11" i="2" s="1"/>
  <c r="D5" i="2" a="1"/>
  <c r="D5" i="2" s="1"/>
  <c r="D8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<sst xmlns="http://schemas.openxmlformats.org/spreadsheetml/2006/main" count="267" uniqueCount="153">
  <si>
    <t>Player</t>
  </si>
  <si>
    <t>Playable</t>
  </si>
  <si>
    <t>Mob</t>
  </si>
  <si>
    <t>Health</t>
  </si>
  <si>
    <t>Category</t>
  </si>
  <si>
    <t>Bat</t>
  </si>
  <si>
    <t>Passive</t>
  </si>
  <si>
    <t>Chicken</t>
  </si>
  <si>
    <t>Cod</t>
  </si>
  <si>
    <t>Cow</t>
  </si>
  <si>
    <t>Mooshroom</t>
  </si>
  <si>
    <t>Ocelot</t>
  </si>
  <si>
    <t>Pig</t>
  </si>
  <si>
    <t>Pufferfish</t>
  </si>
  <si>
    <t>Rabbit</t>
  </si>
  <si>
    <t>Salmon</t>
  </si>
  <si>
    <t>Sheep</t>
  </si>
  <si>
    <t>Squid</t>
  </si>
  <si>
    <t>Turtle</t>
  </si>
  <si>
    <t>Villager</t>
  </si>
  <si>
    <t>Neutral</t>
  </si>
  <si>
    <t>Dolphin</t>
  </si>
  <si>
    <t>Enderman</t>
  </si>
  <si>
    <t>Polar Bear</t>
  </si>
  <si>
    <t>Spider</t>
  </si>
  <si>
    <t>Wolf</t>
  </si>
  <si>
    <t>Hostile</t>
  </si>
  <si>
    <t>Blaze</t>
  </si>
  <si>
    <t>Creeper</t>
  </si>
  <si>
    <t>Drowned</t>
  </si>
  <si>
    <t>Elder Guardian</t>
  </si>
  <si>
    <t>Tropical Fish</t>
  </si>
  <si>
    <t>Cave Spider</t>
  </si>
  <si>
    <t>Endermite</t>
  </si>
  <si>
    <t>Evoker</t>
  </si>
  <si>
    <t>Ghast</t>
  </si>
  <si>
    <t>Guardian</t>
  </si>
  <si>
    <t>Husk</t>
  </si>
  <si>
    <t>Magma Cube (Big)</t>
  </si>
  <si>
    <t>Magma Cube (Small)</t>
  </si>
  <si>
    <t>Phantom</t>
  </si>
  <si>
    <t>Shulker</t>
  </si>
  <si>
    <t>Silverfish</t>
  </si>
  <si>
    <t>Skeleton</t>
  </si>
  <si>
    <t>Slime (Big)</t>
  </si>
  <si>
    <t>Slime (Small)</t>
  </si>
  <si>
    <t>Stray</t>
  </si>
  <si>
    <t>Vex</t>
  </si>
  <si>
    <t>Vindicator</t>
  </si>
  <si>
    <t>Witch</t>
  </si>
  <si>
    <t>Wither Skeleton</t>
  </si>
  <si>
    <t>Zombie</t>
  </si>
  <si>
    <t>Zombie Villager</t>
  </si>
  <si>
    <t>Tameable</t>
  </si>
  <si>
    <t>Donkey</t>
  </si>
  <si>
    <t>Min Health</t>
  </si>
  <si>
    <t>Max Health</t>
  </si>
  <si>
    <t>Horse</t>
  </si>
  <si>
    <t>Llama</t>
  </si>
  <si>
    <t>Mule</t>
  </si>
  <si>
    <t>Parrot</t>
  </si>
  <si>
    <t>Skeleton Horse</t>
  </si>
  <si>
    <t>Utility</t>
  </si>
  <si>
    <t>Iron Golem</t>
  </si>
  <si>
    <t>Snow Golem</t>
  </si>
  <si>
    <t>Bosses</t>
  </si>
  <si>
    <t>Wither</t>
  </si>
  <si>
    <t>Cat</t>
  </si>
  <si>
    <t>Fox</t>
  </si>
  <si>
    <t>Panda</t>
  </si>
  <si>
    <t>Pillager</t>
  </si>
  <si>
    <t>Ravager</t>
  </si>
  <si>
    <t>Trader Llama</t>
  </si>
  <si>
    <t>Wandering Trader</t>
  </si>
  <si>
    <t>Giant</t>
  </si>
  <si>
    <t>Illusioner</t>
  </si>
  <si>
    <t>Zombie Horse</t>
  </si>
  <si>
    <t>Time</t>
  </si>
  <si>
    <t>Ender Dragon</t>
  </si>
  <si>
    <t>https://imgur.com/a/4pFWr</t>
  </si>
  <si>
    <t>https://www.reddit.com/r/Minecraft/comments/1kutcc/minecraft_science_how_many_hearts_torches_and/</t>
  </si>
  <si>
    <t>https://www.reddit.com/r/Minecraft/comments/3nlduc/falling_damage_is_weirdly_nonlinear/</t>
  </si>
  <si>
    <t>https://gaming.stackexchange.com/questions/178726/what-is-the-terminal-velocity-of-a-sheep</t>
  </si>
  <si>
    <t>https://minecraft.gamepedia.com/Tutorials/Mob_grinder#Fall_Damage</t>
  </si>
  <si>
    <t>Ticks</t>
  </si>
  <si>
    <t>Speed</t>
  </si>
  <si>
    <t>Distance</t>
  </si>
  <si>
    <t>Measured damage</t>
  </si>
  <si>
    <t>Blocks fallen</t>
  </si>
  <si>
    <t>Dog</t>
  </si>
  <si>
    <t>If it survives, how much health does it have?</t>
  </si>
  <si>
    <t>"Expected" damage</t>
  </si>
  <si>
    <t>Height in reality</t>
  </si>
  <si>
    <t>Height in most recent image</t>
  </si>
  <si>
    <t>Frame</t>
  </si>
  <si>
    <t>framerate</t>
  </si>
  <si>
    <t>freq</t>
  </si>
  <si>
    <t>Seconds</t>
  </si>
  <si>
    <t>Precise distance</t>
  </si>
  <si>
    <t>Distance in blocks</t>
  </si>
  <si>
    <t>Highest survivable fall</t>
  </si>
  <si>
    <t>Fall prop</t>
  </si>
  <si>
    <t>Index</t>
  </si>
  <si>
    <t>Lethal fall height</t>
  </si>
  <si>
    <t>What is the highest distance mob can fall without dying?</t>
  </si>
  <si>
    <t>How high does mob need to fall to die?</t>
  </si>
  <si>
    <t>in blocks</t>
  </si>
  <si>
    <t>Fall property</t>
  </si>
  <si>
    <t>Dmg (horses)</t>
  </si>
  <si>
    <t>Dmg</t>
  </si>
  <si>
    <t>Dmg (fox)</t>
  </si>
  <si>
    <t>Damage may be affected by its bouncy movement.</t>
  </si>
  <si>
    <t>This mob does not take fall damage (but may melt on the way down).</t>
  </si>
  <si>
    <t>This mob does not take fall damage.</t>
  </si>
  <si>
    <t>This mob does not take fall damage (it can fly).</t>
  </si>
  <si>
    <t>This mob does not take fall damage (it can teleport).</t>
  </si>
  <si>
    <t>Comment</t>
  </si>
  <si>
    <t>Rounding difference</t>
  </si>
  <si>
    <t>Magma Cube (Medium)</t>
  </si>
  <si>
    <t>Slime (Medium)</t>
  </si>
  <si>
    <t>idx</t>
  </si>
  <si>
    <t>Dist</t>
  </si>
  <si>
    <t>dmg</t>
  </si>
  <si>
    <t>Post-drop</t>
  </si>
  <si>
    <t>a half a heart</t>
  </si>
  <si>
    <t>no hearts</t>
  </si>
  <si>
    <t>Piglin</t>
  </si>
  <si>
    <t>Hoglin</t>
  </si>
  <si>
    <t>Zoglin</t>
  </si>
  <si>
    <t>Zombified Piglin</t>
  </si>
  <si>
    <t>Axolotl</t>
  </si>
  <si>
    <t>Goat</t>
  </si>
  <si>
    <t>Dmg (goat)</t>
  </si>
  <si>
    <t>Goats take 20 less fall damage.</t>
  </si>
  <si>
    <t>Glow Squid</t>
  </si>
  <si>
    <t>Strider</t>
  </si>
  <si>
    <t>hearts</t>
  </si>
  <si>
    <t>text</t>
  </si>
  <si>
    <t>points</t>
  </si>
  <si>
    <t>Sniffer</t>
  </si>
  <si>
    <t>Armadillo</t>
  </si>
  <si>
    <t>Allay</t>
  </si>
  <si>
    <t>Camel</t>
  </si>
  <si>
    <t>Frog</t>
  </si>
  <si>
    <t>Tadpole</t>
  </si>
  <si>
    <t>Bee</t>
  </si>
  <si>
    <t>Creaking</t>
  </si>
  <si>
    <t>Bogged</t>
  </si>
  <si>
    <t>Warden</t>
  </si>
  <si>
    <t>Dmg (flying)</t>
  </si>
  <si>
    <t>A creaking is immune to all direct damage.</t>
  </si>
  <si>
    <t>Armadillos take less than half damage when rolled up.</t>
  </si>
  <si>
    <t>Health: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</si>
</sst>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2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0" fontId="2" fillId="0" borderId="0" xfId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" fontId="0" fillId="0" borderId="0" xfId="0" applyNumberFormat="1"/>
    <xf numFmtId="0" fontId="1" fillId="0" borderId="2" xfId="0" applyFont="1" applyBorder="1"/>
    <xf numFmtId="0" fontId="3" fillId="0" borderId="0" xfId="0" applyFont="1"/>
    <xf numFmtId="0" fontId="0" fillId="0" borderId="0" xfId="0" applyAlignment="1">
      <alignment horizontal="right"/>
    </xf>
    <xf numFmtId="0" fontId="4" fillId="0" borderId="0" xfId="0" applyFont="1"/>
    <xf numFmtId="164" fontId="1" fillId="6" borderId="0" xfId="0" applyNumberFormat="1" applyFont="1" applyFill="1" applyAlignment="1">
      <alignment horizontal="right"/>
    </xf>
    <xf numFmtId="164" fontId="0" fillId="0" borderId="1" xfId="0" applyNumberFormat="1" applyBorder="1"/>
    <xf numFmtId="1" fontId="1" fillId="0" borderId="2" xfId="0" applyNumberFormat="1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1" fontId="6" fillId="0" borderId="0" xfId="0" applyNumberFormat="1" applyFont="1"/>
    <xf numFmtId="0" fontId="7" fillId="0" borderId="0" xfId="0" applyFont="1"/>
    <xf numFmtId="0" fontId="1" fillId="0" borderId="4" xfId="0" applyFont="1" applyBorder="1"/>
    <xf numFmtId="1" fontId="0" fillId="0" borderId="3" xfId="0" applyNumberFormat="1" applyBorder="1"/>
    <xf numFmtId="164" fontId="0" fillId="0" borderId="3" xfId="0" applyNumberFormat="1" applyBorder="1"/>
    <xf numFmtId="0" fontId="0" fillId="0" borderId="3" xfId="0" applyBorder="1"/>
    <xf numFmtId="2" fontId="0" fillId="0" borderId="3" xfId="0" applyNumberFormat="1" applyBorder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DFFF"/>
      <color rgb="FFFF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Anvil!$C$2:$C$802</c:f>
              <c:numCache>
                <c:formatCode>0.0</c:formatCode>
                <c:ptCount val="801"/>
                <c:pt idx="0">
                  <c:v>100</c:v>
                </c:pt>
                <c:pt idx="1">
                  <c:v>99.875</c:v>
                </c:pt>
                <c:pt idx="2">
                  <c:v>99.75</c:v>
                </c:pt>
                <c:pt idx="3">
                  <c:v>99.625</c:v>
                </c:pt>
                <c:pt idx="4">
                  <c:v>99.5</c:v>
                </c:pt>
                <c:pt idx="5">
                  <c:v>99.375</c:v>
                </c:pt>
                <c:pt idx="6">
                  <c:v>99.25</c:v>
                </c:pt>
                <c:pt idx="7">
                  <c:v>99.125</c:v>
                </c:pt>
                <c:pt idx="8">
                  <c:v>99</c:v>
                </c:pt>
                <c:pt idx="9">
                  <c:v>98.875</c:v>
                </c:pt>
                <c:pt idx="10">
                  <c:v>98.75</c:v>
                </c:pt>
                <c:pt idx="11">
                  <c:v>98.625</c:v>
                </c:pt>
                <c:pt idx="12">
                  <c:v>98.5</c:v>
                </c:pt>
                <c:pt idx="13">
                  <c:v>98.375</c:v>
                </c:pt>
                <c:pt idx="14">
                  <c:v>98.25</c:v>
                </c:pt>
                <c:pt idx="15">
                  <c:v>98.125</c:v>
                </c:pt>
                <c:pt idx="16">
                  <c:v>98</c:v>
                </c:pt>
                <c:pt idx="17">
                  <c:v>97.875</c:v>
                </c:pt>
                <c:pt idx="18">
                  <c:v>97.75</c:v>
                </c:pt>
                <c:pt idx="19">
                  <c:v>97.625</c:v>
                </c:pt>
                <c:pt idx="20">
                  <c:v>97.5</c:v>
                </c:pt>
                <c:pt idx="21">
                  <c:v>97.375</c:v>
                </c:pt>
                <c:pt idx="22">
                  <c:v>97.25</c:v>
                </c:pt>
                <c:pt idx="23">
                  <c:v>97.125</c:v>
                </c:pt>
                <c:pt idx="24">
                  <c:v>97</c:v>
                </c:pt>
                <c:pt idx="25">
                  <c:v>96.875</c:v>
                </c:pt>
                <c:pt idx="26">
                  <c:v>96.75</c:v>
                </c:pt>
                <c:pt idx="27">
                  <c:v>96.625</c:v>
                </c:pt>
                <c:pt idx="28">
                  <c:v>96.5</c:v>
                </c:pt>
                <c:pt idx="29">
                  <c:v>96.375</c:v>
                </c:pt>
                <c:pt idx="30">
                  <c:v>96.25</c:v>
                </c:pt>
                <c:pt idx="31">
                  <c:v>96.125</c:v>
                </c:pt>
                <c:pt idx="32">
                  <c:v>96</c:v>
                </c:pt>
                <c:pt idx="33">
                  <c:v>95.875</c:v>
                </c:pt>
                <c:pt idx="34">
                  <c:v>95.75</c:v>
                </c:pt>
                <c:pt idx="35">
                  <c:v>95.625</c:v>
                </c:pt>
                <c:pt idx="36">
                  <c:v>95.5</c:v>
                </c:pt>
                <c:pt idx="37">
                  <c:v>95.375</c:v>
                </c:pt>
                <c:pt idx="38">
                  <c:v>95.25</c:v>
                </c:pt>
                <c:pt idx="39">
                  <c:v>95.125</c:v>
                </c:pt>
                <c:pt idx="40">
                  <c:v>95</c:v>
                </c:pt>
                <c:pt idx="41">
                  <c:v>94.875</c:v>
                </c:pt>
                <c:pt idx="42">
                  <c:v>94.75</c:v>
                </c:pt>
                <c:pt idx="43">
                  <c:v>94.625</c:v>
                </c:pt>
                <c:pt idx="44">
                  <c:v>94.5</c:v>
                </c:pt>
                <c:pt idx="45">
                  <c:v>94.375</c:v>
                </c:pt>
                <c:pt idx="46">
                  <c:v>94.25</c:v>
                </c:pt>
                <c:pt idx="47">
                  <c:v>94.125</c:v>
                </c:pt>
                <c:pt idx="48">
                  <c:v>94</c:v>
                </c:pt>
                <c:pt idx="49">
                  <c:v>93.875</c:v>
                </c:pt>
                <c:pt idx="50">
                  <c:v>93.75</c:v>
                </c:pt>
                <c:pt idx="51">
                  <c:v>93.625</c:v>
                </c:pt>
                <c:pt idx="52">
                  <c:v>93.5</c:v>
                </c:pt>
                <c:pt idx="53">
                  <c:v>93.375</c:v>
                </c:pt>
                <c:pt idx="54">
                  <c:v>93.25</c:v>
                </c:pt>
                <c:pt idx="55">
                  <c:v>93.125</c:v>
                </c:pt>
                <c:pt idx="56">
                  <c:v>93</c:v>
                </c:pt>
                <c:pt idx="57">
                  <c:v>92.875</c:v>
                </c:pt>
                <c:pt idx="58">
                  <c:v>92.75</c:v>
                </c:pt>
                <c:pt idx="59">
                  <c:v>92.625</c:v>
                </c:pt>
                <c:pt idx="60">
                  <c:v>92.5</c:v>
                </c:pt>
                <c:pt idx="61">
                  <c:v>92.375</c:v>
                </c:pt>
                <c:pt idx="62">
                  <c:v>92.25</c:v>
                </c:pt>
                <c:pt idx="63">
                  <c:v>92.125</c:v>
                </c:pt>
                <c:pt idx="64">
                  <c:v>92</c:v>
                </c:pt>
                <c:pt idx="65">
                  <c:v>91.875</c:v>
                </c:pt>
                <c:pt idx="66">
                  <c:v>91.75</c:v>
                </c:pt>
                <c:pt idx="67">
                  <c:v>91.625</c:v>
                </c:pt>
                <c:pt idx="68">
                  <c:v>91.5</c:v>
                </c:pt>
                <c:pt idx="69">
                  <c:v>91.375</c:v>
                </c:pt>
                <c:pt idx="70">
                  <c:v>91.25</c:v>
                </c:pt>
                <c:pt idx="71">
                  <c:v>91.125</c:v>
                </c:pt>
                <c:pt idx="72">
                  <c:v>91</c:v>
                </c:pt>
                <c:pt idx="73">
                  <c:v>90.875</c:v>
                </c:pt>
                <c:pt idx="74">
                  <c:v>90.75</c:v>
                </c:pt>
                <c:pt idx="75">
                  <c:v>90.625</c:v>
                </c:pt>
                <c:pt idx="76">
                  <c:v>90.5</c:v>
                </c:pt>
                <c:pt idx="77">
                  <c:v>90.375</c:v>
                </c:pt>
                <c:pt idx="78">
                  <c:v>90.25</c:v>
                </c:pt>
                <c:pt idx="79">
                  <c:v>90.125</c:v>
                </c:pt>
                <c:pt idx="80">
                  <c:v>90</c:v>
                </c:pt>
                <c:pt idx="81">
                  <c:v>89.875</c:v>
                </c:pt>
                <c:pt idx="82">
                  <c:v>89.75</c:v>
                </c:pt>
                <c:pt idx="83">
                  <c:v>89.625</c:v>
                </c:pt>
                <c:pt idx="84">
                  <c:v>89.5</c:v>
                </c:pt>
                <c:pt idx="85">
                  <c:v>89.375</c:v>
                </c:pt>
                <c:pt idx="86">
                  <c:v>89.25</c:v>
                </c:pt>
                <c:pt idx="87">
                  <c:v>89.125</c:v>
                </c:pt>
                <c:pt idx="88">
                  <c:v>89</c:v>
                </c:pt>
                <c:pt idx="89">
                  <c:v>88.875</c:v>
                </c:pt>
                <c:pt idx="90">
                  <c:v>88.75</c:v>
                </c:pt>
                <c:pt idx="91">
                  <c:v>88.625</c:v>
                </c:pt>
                <c:pt idx="92">
                  <c:v>88.5</c:v>
                </c:pt>
                <c:pt idx="93">
                  <c:v>88.375</c:v>
                </c:pt>
                <c:pt idx="94">
                  <c:v>88.25</c:v>
                </c:pt>
                <c:pt idx="95">
                  <c:v>88.125</c:v>
                </c:pt>
                <c:pt idx="96">
                  <c:v>88</c:v>
                </c:pt>
                <c:pt idx="97">
                  <c:v>87.875</c:v>
                </c:pt>
                <c:pt idx="98">
                  <c:v>87.75</c:v>
                </c:pt>
                <c:pt idx="99">
                  <c:v>87.625</c:v>
                </c:pt>
                <c:pt idx="100">
                  <c:v>87.5</c:v>
                </c:pt>
                <c:pt idx="101">
                  <c:v>87.375</c:v>
                </c:pt>
                <c:pt idx="102">
                  <c:v>87.25</c:v>
                </c:pt>
                <c:pt idx="103">
                  <c:v>87.125</c:v>
                </c:pt>
                <c:pt idx="104">
                  <c:v>87</c:v>
                </c:pt>
                <c:pt idx="105">
                  <c:v>86.875</c:v>
                </c:pt>
                <c:pt idx="106">
                  <c:v>86.75</c:v>
                </c:pt>
                <c:pt idx="107">
                  <c:v>86.625</c:v>
                </c:pt>
                <c:pt idx="108">
                  <c:v>86.5</c:v>
                </c:pt>
                <c:pt idx="109">
                  <c:v>86.375</c:v>
                </c:pt>
                <c:pt idx="110">
                  <c:v>86.25</c:v>
                </c:pt>
                <c:pt idx="111">
                  <c:v>86.125</c:v>
                </c:pt>
                <c:pt idx="112">
                  <c:v>86</c:v>
                </c:pt>
                <c:pt idx="113">
                  <c:v>85.875</c:v>
                </c:pt>
                <c:pt idx="114">
                  <c:v>85.75</c:v>
                </c:pt>
                <c:pt idx="115">
                  <c:v>85.625</c:v>
                </c:pt>
                <c:pt idx="116">
                  <c:v>85.5</c:v>
                </c:pt>
                <c:pt idx="117">
                  <c:v>85.375</c:v>
                </c:pt>
                <c:pt idx="118">
                  <c:v>85.25</c:v>
                </c:pt>
                <c:pt idx="119">
                  <c:v>85.125</c:v>
                </c:pt>
                <c:pt idx="120">
                  <c:v>85</c:v>
                </c:pt>
                <c:pt idx="121">
                  <c:v>84.875</c:v>
                </c:pt>
                <c:pt idx="122">
                  <c:v>84.75</c:v>
                </c:pt>
                <c:pt idx="123">
                  <c:v>84.625</c:v>
                </c:pt>
                <c:pt idx="124">
                  <c:v>84.5</c:v>
                </c:pt>
                <c:pt idx="125">
                  <c:v>84.375</c:v>
                </c:pt>
                <c:pt idx="126">
                  <c:v>84.25</c:v>
                </c:pt>
                <c:pt idx="127">
                  <c:v>84.125</c:v>
                </c:pt>
                <c:pt idx="128">
                  <c:v>84</c:v>
                </c:pt>
                <c:pt idx="129">
                  <c:v>83.875</c:v>
                </c:pt>
                <c:pt idx="130">
                  <c:v>83.75</c:v>
                </c:pt>
                <c:pt idx="131">
                  <c:v>83.625</c:v>
                </c:pt>
                <c:pt idx="132">
                  <c:v>83.5</c:v>
                </c:pt>
                <c:pt idx="133">
                  <c:v>83.375</c:v>
                </c:pt>
                <c:pt idx="134">
                  <c:v>83.25</c:v>
                </c:pt>
                <c:pt idx="135">
                  <c:v>83.125</c:v>
                </c:pt>
                <c:pt idx="136">
                  <c:v>83</c:v>
                </c:pt>
                <c:pt idx="137">
                  <c:v>82.875</c:v>
                </c:pt>
                <c:pt idx="138">
                  <c:v>82.75</c:v>
                </c:pt>
                <c:pt idx="139">
                  <c:v>82.625</c:v>
                </c:pt>
                <c:pt idx="140">
                  <c:v>82.5</c:v>
                </c:pt>
                <c:pt idx="141">
                  <c:v>82.375</c:v>
                </c:pt>
                <c:pt idx="142">
                  <c:v>82.25</c:v>
                </c:pt>
                <c:pt idx="143">
                  <c:v>82.125</c:v>
                </c:pt>
                <c:pt idx="144">
                  <c:v>82</c:v>
                </c:pt>
                <c:pt idx="145">
                  <c:v>81.875</c:v>
                </c:pt>
                <c:pt idx="146">
                  <c:v>81.75</c:v>
                </c:pt>
                <c:pt idx="147">
                  <c:v>81.625</c:v>
                </c:pt>
                <c:pt idx="148">
                  <c:v>81.5</c:v>
                </c:pt>
                <c:pt idx="149">
                  <c:v>81.375</c:v>
                </c:pt>
                <c:pt idx="150">
                  <c:v>81.25</c:v>
                </c:pt>
                <c:pt idx="151">
                  <c:v>81.125</c:v>
                </c:pt>
                <c:pt idx="152">
                  <c:v>81</c:v>
                </c:pt>
                <c:pt idx="153">
                  <c:v>80.875</c:v>
                </c:pt>
                <c:pt idx="154">
                  <c:v>80.75</c:v>
                </c:pt>
                <c:pt idx="155">
                  <c:v>80.625</c:v>
                </c:pt>
                <c:pt idx="156">
                  <c:v>80.5</c:v>
                </c:pt>
                <c:pt idx="157">
                  <c:v>80.375</c:v>
                </c:pt>
                <c:pt idx="158">
                  <c:v>80.25</c:v>
                </c:pt>
                <c:pt idx="159">
                  <c:v>80.125</c:v>
                </c:pt>
                <c:pt idx="160">
                  <c:v>80</c:v>
                </c:pt>
                <c:pt idx="161">
                  <c:v>79.875</c:v>
                </c:pt>
                <c:pt idx="162">
                  <c:v>79.75</c:v>
                </c:pt>
                <c:pt idx="163">
                  <c:v>79.625</c:v>
                </c:pt>
                <c:pt idx="164">
                  <c:v>79.5</c:v>
                </c:pt>
                <c:pt idx="165">
                  <c:v>79.375</c:v>
                </c:pt>
                <c:pt idx="166">
                  <c:v>79.25</c:v>
                </c:pt>
                <c:pt idx="167">
                  <c:v>79.125</c:v>
                </c:pt>
                <c:pt idx="168">
                  <c:v>79</c:v>
                </c:pt>
                <c:pt idx="169">
                  <c:v>78.875</c:v>
                </c:pt>
                <c:pt idx="170">
                  <c:v>78.75</c:v>
                </c:pt>
                <c:pt idx="171">
                  <c:v>78.625</c:v>
                </c:pt>
                <c:pt idx="172">
                  <c:v>78.5</c:v>
                </c:pt>
                <c:pt idx="173">
                  <c:v>78.375</c:v>
                </c:pt>
                <c:pt idx="174">
                  <c:v>78.25</c:v>
                </c:pt>
                <c:pt idx="175">
                  <c:v>78.125</c:v>
                </c:pt>
                <c:pt idx="176">
                  <c:v>78</c:v>
                </c:pt>
                <c:pt idx="177">
                  <c:v>77.875</c:v>
                </c:pt>
                <c:pt idx="178">
                  <c:v>77.75</c:v>
                </c:pt>
                <c:pt idx="179">
                  <c:v>77.625</c:v>
                </c:pt>
                <c:pt idx="180">
                  <c:v>77.5</c:v>
                </c:pt>
                <c:pt idx="181">
                  <c:v>77.375</c:v>
                </c:pt>
                <c:pt idx="182">
                  <c:v>77.25</c:v>
                </c:pt>
                <c:pt idx="183">
                  <c:v>77.125</c:v>
                </c:pt>
                <c:pt idx="184">
                  <c:v>77</c:v>
                </c:pt>
                <c:pt idx="185">
                  <c:v>76.875</c:v>
                </c:pt>
                <c:pt idx="186">
                  <c:v>76.75</c:v>
                </c:pt>
                <c:pt idx="187">
                  <c:v>76.625</c:v>
                </c:pt>
                <c:pt idx="188">
                  <c:v>76.5</c:v>
                </c:pt>
                <c:pt idx="189">
                  <c:v>76.375</c:v>
                </c:pt>
                <c:pt idx="190">
                  <c:v>76.25</c:v>
                </c:pt>
                <c:pt idx="191">
                  <c:v>76.125</c:v>
                </c:pt>
                <c:pt idx="192">
                  <c:v>76</c:v>
                </c:pt>
                <c:pt idx="193">
                  <c:v>75.875</c:v>
                </c:pt>
                <c:pt idx="194">
                  <c:v>75.75</c:v>
                </c:pt>
                <c:pt idx="195">
                  <c:v>75.625</c:v>
                </c:pt>
                <c:pt idx="196">
                  <c:v>75.5</c:v>
                </c:pt>
                <c:pt idx="197">
                  <c:v>75.375</c:v>
                </c:pt>
                <c:pt idx="198">
                  <c:v>75.25</c:v>
                </c:pt>
                <c:pt idx="199">
                  <c:v>75.125</c:v>
                </c:pt>
                <c:pt idx="200">
                  <c:v>75</c:v>
                </c:pt>
                <c:pt idx="201">
                  <c:v>74.875</c:v>
                </c:pt>
                <c:pt idx="202">
                  <c:v>74.75</c:v>
                </c:pt>
                <c:pt idx="203">
                  <c:v>74.625</c:v>
                </c:pt>
                <c:pt idx="204">
                  <c:v>74.5</c:v>
                </c:pt>
                <c:pt idx="205">
                  <c:v>74.375</c:v>
                </c:pt>
                <c:pt idx="206">
                  <c:v>74.25</c:v>
                </c:pt>
                <c:pt idx="207">
                  <c:v>74.125</c:v>
                </c:pt>
                <c:pt idx="208">
                  <c:v>74</c:v>
                </c:pt>
                <c:pt idx="209">
                  <c:v>73.875</c:v>
                </c:pt>
                <c:pt idx="210">
                  <c:v>73.75</c:v>
                </c:pt>
                <c:pt idx="211">
                  <c:v>73.625</c:v>
                </c:pt>
                <c:pt idx="212">
                  <c:v>73.5</c:v>
                </c:pt>
                <c:pt idx="213">
                  <c:v>73.375</c:v>
                </c:pt>
                <c:pt idx="214">
                  <c:v>73.25</c:v>
                </c:pt>
                <c:pt idx="215">
                  <c:v>73.125</c:v>
                </c:pt>
                <c:pt idx="216">
                  <c:v>73</c:v>
                </c:pt>
                <c:pt idx="217">
                  <c:v>72.875</c:v>
                </c:pt>
                <c:pt idx="218">
                  <c:v>72.75</c:v>
                </c:pt>
                <c:pt idx="219">
                  <c:v>72.625</c:v>
                </c:pt>
                <c:pt idx="220">
                  <c:v>72.5</c:v>
                </c:pt>
                <c:pt idx="221">
                  <c:v>72.375</c:v>
                </c:pt>
                <c:pt idx="222">
                  <c:v>72.25</c:v>
                </c:pt>
                <c:pt idx="223">
                  <c:v>72.125</c:v>
                </c:pt>
                <c:pt idx="224">
                  <c:v>72</c:v>
                </c:pt>
                <c:pt idx="225">
                  <c:v>71.875</c:v>
                </c:pt>
                <c:pt idx="226">
                  <c:v>71.75</c:v>
                </c:pt>
                <c:pt idx="227">
                  <c:v>71.625</c:v>
                </c:pt>
                <c:pt idx="228">
                  <c:v>71.5</c:v>
                </c:pt>
                <c:pt idx="229">
                  <c:v>71.375</c:v>
                </c:pt>
                <c:pt idx="230">
                  <c:v>71.25</c:v>
                </c:pt>
                <c:pt idx="231">
                  <c:v>71.125</c:v>
                </c:pt>
                <c:pt idx="232">
                  <c:v>71</c:v>
                </c:pt>
                <c:pt idx="233">
                  <c:v>70.875</c:v>
                </c:pt>
                <c:pt idx="234">
                  <c:v>70.75</c:v>
                </c:pt>
                <c:pt idx="235">
                  <c:v>70.625</c:v>
                </c:pt>
                <c:pt idx="236">
                  <c:v>70.5</c:v>
                </c:pt>
                <c:pt idx="237">
                  <c:v>70.375</c:v>
                </c:pt>
                <c:pt idx="238">
                  <c:v>70.25</c:v>
                </c:pt>
                <c:pt idx="239">
                  <c:v>70.125</c:v>
                </c:pt>
                <c:pt idx="240">
                  <c:v>70</c:v>
                </c:pt>
                <c:pt idx="241">
                  <c:v>69.875</c:v>
                </c:pt>
                <c:pt idx="242">
                  <c:v>69.75</c:v>
                </c:pt>
                <c:pt idx="243">
                  <c:v>69.625</c:v>
                </c:pt>
                <c:pt idx="244">
                  <c:v>69.5</c:v>
                </c:pt>
                <c:pt idx="245">
                  <c:v>69.375</c:v>
                </c:pt>
                <c:pt idx="246">
                  <c:v>69.25</c:v>
                </c:pt>
                <c:pt idx="247">
                  <c:v>69.125</c:v>
                </c:pt>
                <c:pt idx="248">
                  <c:v>69</c:v>
                </c:pt>
                <c:pt idx="249">
                  <c:v>68.875</c:v>
                </c:pt>
                <c:pt idx="250">
                  <c:v>68.75</c:v>
                </c:pt>
                <c:pt idx="251">
                  <c:v>68.625</c:v>
                </c:pt>
                <c:pt idx="252">
                  <c:v>68.5</c:v>
                </c:pt>
                <c:pt idx="253">
                  <c:v>68.375</c:v>
                </c:pt>
                <c:pt idx="254">
                  <c:v>68.25</c:v>
                </c:pt>
                <c:pt idx="255">
                  <c:v>68.125</c:v>
                </c:pt>
                <c:pt idx="256">
                  <c:v>68</c:v>
                </c:pt>
                <c:pt idx="257">
                  <c:v>67.875</c:v>
                </c:pt>
                <c:pt idx="258">
                  <c:v>67.75</c:v>
                </c:pt>
                <c:pt idx="259">
                  <c:v>67.625</c:v>
                </c:pt>
                <c:pt idx="260">
                  <c:v>67.5</c:v>
                </c:pt>
                <c:pt idx="261">
                  <c:v>67.375</c:v>
                </c:pt>
                <c:pt idx="262">
                  <c:v>67.25</c:v>
                </c:pt>
                <c:pt idx="263">
                  <c:v>67.125</c:v>
                </c:pt>
                <c:pt idx="264">
                  <c:v>67</c:v>
                </c:pt>
                <c:pt idx="265">
                  <c:v>66.875</c:v>
                </c:pt>
                <c:pt idx="266">
                  <c:v>66.75</c:v>
                </c:pt>
                <c:pt idx="267">
                  <c:v>66.625</c:v>
                </c:pt>
                <c:pt idx="268">
                  <c:v>66.5</c:v>
                </c:pt>
                <c:pt idx="269">
                  <c:v>66.375</c:v>
                </c:pt>
                <c:pt idx="270">
                  <c:v>66.25</c:v>
                </c:pt>
                <c:pt idx="271">
                  <c:v>66.125</c:v>
                </c:pt>
                <c:pt idx="272">
                  <c:v>66</c:v>
                </c:pt>
                <c:pt idx="273">
                  <c:v>65.875</c:v>
                </c:pt>
                <c:pt idx="274">
                  <c:v>65.75</c:v>
                </c:pt>
                <c:pt idx="275">
                  <c:v>65.625</c:v>
                </c:pt>
                <c:pt idx="276">
                  <c:v>65.5</c:v>
                </c:pt>
                <c:pt idx="277">
                  <c:v>65.375</c:v>
                </c:pt>
                <c:pt idx="278">
                  <c:v>65.25</c:v>
                </c:pt>
                <c:pt idx="279">
                  <c:v>65.125</c:v>
                </c:pt>
                <c:pt idx="280">
                  <c:v>65</c:v>
                </c:pt>
                <c:pt idx="281">
                  <c:v>64.875</c:v>
                </c:pt>
                <c:pt idx="282">
                  <c:v>64.75</c:v>
                </c:pt>
                <c:pt idx="283">
                  <c:v>64.625</c:v>
                </c:pt>
                <c:pt idx="284">
                  <c:v>64.5</c:v>
                </c:pt>
                <c:pt idx="285">
                  <c:v>64.375</c:v>
                </c:pt>
                <c:pt idx="286">
                  <c:v>64.25</c:v>
                </c:pt>
                <c:pt idx="287">
                  <c:v>64.125</c:v>
                </c:pt>
                <c:pt idx="288">
                  <c:v>64</c:v>
                </c:pt>
                <c:pt idx="289">
                  <c:v>63.875</c:v>
                </c:pt>
                <c:pt idx="290">
                  <c:v>63.75</c:v>
                </c:pt>
                <c:pt idx="291">
                  <c:v>63.625</c:v>
                </c:pt>
                <c:pt idx="292">
                  <c:v>63.5</c:v>
                </c:pt>
                <c:pt idx="293">
                  <c:v>63.375</c:v>
                </c:pt>
                <c:pt idx="294">
                  <c:v>63.25</c:v>
                </c:pt>
                <c:pt idx="295">
                  <c:v>63.125</c:v>
                </c:pt>
                <c:pt idx="296">
                  <c:v>63</c:v>
                </c:pt>
                <c:pt idx="297">
                  <c:v>62.875</c:v>
                </c:pt>
                <c:pt idx="298">
                  <c:v>62.75</c:v>
                </c:pt>
                <c:pt idx="299">
                  <c:v>62.625</c:v>
                </c:pt>
                <c:pt idx="300">
                  <c:v>62.5</c:v>
                </c:pt>
                <c:pt idx="301">
                  <c:v>62.375</c:v>
                </c:pt>
                <c:pt idx="302">
                  <c:v>62.25</c:v>
                </c:pt>
                <c:pt idx="303">
                  <c:v>62.125</c:v>
                </c:pt>
                <c:pt idx="304">
                  <c:v>62</c:v>
                </c:pt>
                <c:pt idx="305">
                  <c:v>61.875</c:v>
                </c:pt>
                <c:pt idx="306">
                  <c:v>61.75</c:v>
                </c:pt>
                <c:pt idx="307">
                  <c:v>61.625</c:v>
                </c:pt>
                <c:pt idx="308">
                  <c:v>61.5</c:v>
                </c:pt>
                <c:pt idx="309">
                  <c:v>61.375</c:v>
                </c:pt>
                <c:pt idx="310">
                  <c:v>61.25</c:v>
                </c:pt>
                <c:pt idx="311">
                  <c:v>61.125</c:v>
                </c:pt>
                <c:pt idx="312">
                  <c:v>61</c:v>
                </c:pt>
                <c:pt idx="313">
                  <c:v>60.875</c:v>
                </c:pt>
                <c:pt idx="314">
                  <c:v>60.75</c:v>
                </c:pt>
                <c:pt idx="315">
                  <c:v>60.625</c:v>
                </c:pt>
                <c:pt idx="316">
                  <c:v>60.5</c:v>
                </c:pt>
                <c:pt idx="317">
                  <c:v>60.375</c:v>
                </c:pt>
                <c:pt idx="318">
                  <c:v>60.25</c:v>
                </c:pt>
                <c:pt idx="319">
                  <c:v>60.125</c:v>
                </c:pt>
                <c:pt idx="320">
                  <c:v>60</c:v>
                </c:pt>
                <c:pt idx="321">
                  <c:v>59.875</c:v>
                </c:pt>
                <c:pt idx="322">
                  <c:v>59.75</c:v>
                </c:pt>
                <c:pt idx="323">
                  <c:v>59.625</c:v>
                </c:pt>
                <c:pt idx="324">
                  <c:v>59.5</c:v>
                </c:pt>
                <c:pt idx="325">
                  <c:v>59.375</c:v>
                </c:pt>
                <c:pt idx="326">
                  <c:v>59.25</c:v>
                </c:pt>
                <c:pt idx="327">
                  <c:v>59.125</c:v>
                </c:pt>
                <c:pt idx="328">
                  <c:v>59</c:v>
                </c:pt>
                <c:pt idx="329">
                  <c:v>58.875</c:v>
                </c:pt>
                <c:pt idx="330">
                  <c:v>58.75</c:v>
                </c:pt>
                <c:pt idx="331">
                  <c:v>58.625</c:v>
                </c:pt>
                <c:pt idx="332">
                  <c:v>58.5</c:v>
                </c:pt>
                <c:pt idx="333">
                  <c:v>58.375</c:v>
                </c:pt>
                <c:pt idx="334">
                  <c:v>58.25</c:v>
                </c:pt>
                <c:pt idx="335">
                  <c:v>58.125</c:v>
                </c:pt>
                <c:pt idx="336">
                  <c:v>58</c:v>
                </c:pt>
                <c:pt idx="337">
                  <c:v>57.875</c:v>
                </c:pt>
                <c:pt idx="338">
                  <c:v>57.75</c:v>
                </c:pt>
                <c:pt idx="339">
                  <c:v>57.625</c:v>
                </c:pt>
                <c:pt idx="340">
                  <c:v>57.5</c:v>
                </c:pt>
                <c:pt idx="341">
                  <c:v>57.375</c:v>
                </c:pt>
                <c:pt idx="342">
                  <c:v>57.25</c:v>
                </c:pt>
                <c:pt idx="343">
                  <c:v>57.125</c:v>
                </c:pt>
                <c:pt idx="344">
                  <c:v>57</c:v>
                </c:pt>
                <c:pt idx="345">
                  <c:v>56.875</c:v>
                </c:pt>
                <c:pt idx="346">
                  <c:v>56.75</c:v>
                </c:pt>
                <c:pt idx="347">
                  <c:v>56.625</c:v>
                </c:pt>
                <c:pt idx="348">
                  <c:v>56.5</c:v>
                </c:pt>
                <c:pt idx="349">
                  <c:v>56.375</c:v>
                </c:pt>
                <c:pt idx="350">
                  <c:v>56.25</c:v>
                </c:pt>
                <c:pt idx="351">
                  <c:v>56.125</c:v>
                </c:pt>
                <c:pt idx="352">
                  <c:v>56</c:v>
                </c:pt>
                <c:pt idx="353">
                  <c:v>55.875</c:v>
                </c:pt>
                <c:pt idx="354">
                  <c:v>55.75</c:v>
                </c:pt>
                <c:pt idx="355">
                  <c:v>55.625</c:v>
                </c:pt>
                <c:pt idx="356">
                  <c:v>55.5</c:v>
                </c:pt>
                <c:pt idx="357">
                  <c:v>55.375</c:v>
                </c:pt>
                <c:pt idx="358">
                  <c:v>55.25</c:v>
                </c:pt>
                <c:pt idx="359">
                  <c:v>55.125</c:v>
                </c:pt>
                <c:pt idx="360">
                  <c:v>55</c:v>
                </c:pt>
                <c:pt idx="361">
                  <c:v>54.875</c:v>
                </c:pt>
                <c:pt idx="362">
                  <c:v>54.75</c:v>
                </c:pt>
                <c:pt idx="363">
                  <c:v>54.625</c:v>
                </c:pt>
                <c:pt idx="364">
                  <c:v>54.5</c:v>
                </c:pt>
                <c:pt idx="365">
                  <c:v>54.375</c:v>
                </c:pt>
                <c:pt idx="366">
                  <c:v>54.25</c:v>
                </c:pt>
                <c:pt idx="367">
                  <c:v>54.125</c:v>
                </c:pt>
                <c:pt idx="368">
                  <c:v>54</c:v>
                </c:pt>
                <c:pt idx="369">
                  <c:v>53.875</c:v>
                </c:pt>
                <c:pt idx="370">
                  <c:v>53.75</c:v>
                </c:pt>
                <c:pt idx="371">
                  <c:v>53.625</c:v>
                </c:pt>
                <c:pt idx="372">
                  <c:v>53.5</c:v>
                </c:pt>
                <c:pt idx="373">
                  <c:v>53.375</c:v>
                </c:pt>
                <c:pt idx="374">
                  <c:v>53.25</c:v>
                </c:pt>
                <c:pt idx="375">
                  <c:v>53.125</c:v>
                </c:pt>
                <c:pt idx="376">
                  <c:v>53</c:v>
                </c:pt>
                <c:pt idx="377">
                  <c:v>52.875</c:v>
                </c:pt>
                <c:pt idx="378">
                  <c:v>52.75</c:v>
                </c:pt>
                <c:pt idx="379">
                  <c:v>52.625</c:v>
                </c:pt>
                <c:pt idx="380">
                  <c:v>52.5</c:v>
                </c:pt>
                <c:pt idx="381">
                  <c:v>52.375</c:v>
                </c:pt>
                <c:pt idx="382">
                  <c:v>52.25</c:v>
                </c:pt>
                <c:pt idx="383">
                  <c:v>52.125</c:v>
                </c:pt>
                <c:pt idx="384">
                  <c:v>52</c:v>
                </c:pt>
                <c:pt idx="385">
                  <c:v>51.875</c:v>
                </c:pt>
                <c:pt idx="386">
                  <c:v>51.75</c:v>
                </c:pt>
                <c:pt idx="387">
                  <c:v>51.625</c:v>
                </c:pt>
                <c:pt idx="388">
                  <c:v>51.5</c:v>
                </c:pt>
                <c:pt idx="389">
                  <c:v>51.375</c:v>
                </c:pt>
                <c:pt idx="390">
                  <c:v>51.25</c:v>
                </c:pt>
                <c:pt idx="391">
                  <c:v>51.125</c:v>
                </c:pt>
                <c:pt idx="392">
                  <c:v>51</c:v>
                </c:pt>
                <c:pt idx="393">
                  <c:v>50.875</c:v>
                </c:pt>
                <c:pt idx="394">
                  <c:v>50.75</c:v>
                </c:pt>
                <c:pt idx="395">
                  <c:v>50.625</c:v>
                </c:pt>
                <c:pt idx="396">
                  <c:v>50.5</c:v>
                </c:pt>
                <c:pt idx="397">
                  <c:v>50.375</c:v>
                </c:pt>
                <c:pt idx="398">
                  <c:v>50.25</c:v>
                </c:pt>
                <c:pt idx="399">
                  <c:v>50.125</c:v>
                </c:pt>
                <c:pt idx="400">
                  <c:v>50</c:v>
                </c:pt>
                <c:pt idx="401">
                  <c:v>49.875</c:v>
                </c:pt>
                <c:pt idx="402">
                  <c:v>49.750000000000007</c:v>
                </c:pt>
                <c:pt idx="403">
                  <c:v>49.625</c:v>
                </c:pt>
                <c:pt idx="404">
                  <c:v>49.5</c:v>
                </c:pt>
                <c:pt idx="405">
                  <c:v>49.375</c:v>
                </c:pt>
                <c:pt idx="406">
                  <c:v>49.250000000000007</c:v>
                </c:pt>
                <c:pt idx="407">
                  <c:v>49.125</c:v>
                </c:pt>
                <c:pt idx="408">
                  <c:v>49</c:v>
                </c:pt>
                <c:pt idx="409">
                  <c:v>48.875</c:v>
                </c:pt>
                <c:pt idx="410">
                  <c:v>48.750000000000007</c:v>
                </c:pt>
                <c:pt idx="411">
                  <c:v>48.624999999999993</c:v>
                </c:pt>
                <c:pt idx="412">
                  <c:v>48.5</c:v>
                </c:pt>
                <c:pt idx="413">
                  <c:v>48.375</c:v>
                </c:pt>
                <c:pt idx="414">
                  <c:v>48.250000000000007</c:v>
                </c:pt>
                <c:pt idx="415">
                  <c:v>48.124999999999993</c:v>
                </c:pt>
                <c:pt idx="416">
                  <c:v>48</c:v>
                </c:pt>
                <c:pt idx="417">
                  <c:v>47.875</c:v>
                </c:pt>
                <c:pt idx="418">
                  <c:v>47.75</c:v>
                </c:pt>
                <c:pt idx="419">
                  <c:v>47.624999999999993</c:v>
                </c:pt>
                <c:pt idx="420">
                  <c:v>47.5</c:v>
                </c:pt>
                <c:pt idx="421">
                  <c:v>47.375</c:v>
                </c:pt>
                <c:pt idx="422">
                  <c:v>47.25</c:v>
                </c:pt>
                <c:pt idx="423">
                  <c:v>47.124999999999993</c:v>
                </c:pt>
                <c:pt idx="424">
                  <c:v>47</c:v>
                </c:pt>
                <c:pt idx="425">
                  <c:v>46.875</c:v>
                </c:pt>
                <c:pt idx="426">
                  <c:v>46.75</c:v>
                </c:pt>
                <c:pt idx="427">
                  <c:v>46.625000000000007</c:v>
                </c:pt>
                <c:pt idx="428">
                  <c:v>46.5</c:v>
                </c:pt>
                <c:pt idx="429">
                  <c:v>46.375</c:v>
                </c:pt>
                <c:pt idx="430">
                  <c:v>46.25</c:v>
                </c:pt>
                <c:pt idx="431">
                  <c:v>46.125000000000007</c:v>
                </c:pt>
                <c:pt idx="432">
                  <c:v>46</c:v>
                </c:pt>
                <c:pt idx="433">
                  <c:v>45.875</c:v>
                </c:pt>
                <c:pt idx="434">
                  <c:v>45.75</c:v>
                </c:pt>
                <c:pt idx="435">
                  <c:v>45.625000000000007</c:v>
                </c:pt>
                <c:pt idx="436">
                  <c:v>45.499999999999993</c:v>
                </c:pt>
                <c:pt idx="437">
                  <c:v>45.375</c:v>
                </c:pt>
                <c:pt idx="438">
                  <c:v>45.25</c:v>
                </c:pt>
                <c:pt idx="439">
                  <c:v>45.125000000000007</c:v>
                </c:pt>
                <c:pt idx="440">
                  <c:v>44.999999999999993</c:v>
                </c:pt>
                <c:pt idx="441">
                  <c:v>44.875</c:v>
                </c:pt>
                <c:pt idx="442">
                  <c:v>44.75</c:v>
                </c:pt>
                <c:pt idx="443">
                  <c:v>44.625</c:v>
                </c:pt>
                <c:pt idx="444">
                  <c:v>44.499999999999993</c:v>
                </c:pt>
                <c:pt idx="445">
                  <c:v>44.375</c:v>
                </c:pt>
                <c:pt idx="446">
                  <c:v>44.25</c:v>
                </c:pt>
                <c:pt idx="447">
                  <c:v>44.125</c:v>
                </c:pt>
                <c:pt idx="448">
                  <c:v>43.999999999999993</c:v>
                </c:pt>
                <c:pt idx="449">
                  <c:v>43.875</c:v>
                </c:pt>
                <c:pt idx="450">
                  <c:v>43.75</c:v>
                </c:pt>
                <c:pt idx="451">
                  <c:v>43.625</c:v>
                </c:pt>
                <c:pt idx="452">
                  <c:v>43.500000000000007</c:v>
                </c:pt>
                <c:pt idx="453">
                  <c:v>43.375</c:v>
                </c:pt>
                <c:pt idx="454">
                  <c:v>43.25</c:v>
                </c:pt>
                <c:pt idx="455">
                  <c:v>43.125</c:v>
                </c:pt>
                <c:pt idx="456">
                  <c:v>43.000000000000007</c:v>
                </c:pt>
                <c:pt idx="457">
                  <c:v>42.875</c:v>
                </c:pt>
                <c:pt idx="458">
                  <c:v>42.75</c:v>
                </c:pt>
                <c:pt idx="459">
                  <c:v>42.625</c:v>
                </c:pt>
                <c:pt idx="460">
                  <c:v>42.500000000000007</c:v>
                </c:pt>
                <c:pt idx="461">
                  <c:v>42.374999999999993</c:v>
                </c:pt>
                <c:pt idx="462">
                  <c:v>42.25</c:v>
                </c:pt>
                <c:pt idx="463">
                  <c:v>42.125</c:v>
                </c:pt>
                <c:pt idx="464">
                  <c:v>42.000000000000007</c:v>
                </c:pt>
                <c:pt idx="465">
                  <c:v>41.874999999999993</c:v>
                </c:pt>
                <c:pt idx="466">
                  <c:v>41.75</c:v>
                </c:pt>
                <c:pt idx="467">
                  <c:v>41.625</c:v>
                </c:pt>
                <c:pt idx="468">
                  <c:v>41.5</c:v>
                </c:pt>
                <c:pt idx="469">
                  <c:v>41.374999999999993</c:v>
                </c:pt>
                <c:pt idx="470">
                  <c:v>41.25</c:v>
                </c:pt>
                <c:pt idx="471">
                  <c:v>41.125</c:v>
                </c:pt>
                <c:pt idx="472">
                  <c:v>41</c:v>
                </c:pt>
                <c:pt idx="473">
                  <c:v>40.874999999999993</c:v>
                </c:pt>
                <c:pt idx="474">
                  <c:v>40.75</c:v>
                </c:pt>
                <c:pt idx="475">
                  <c:v>40.625</c:v>
                </c:pt>
                <c:pt idx="476">
                  <c:v>40.5</c:v>
                </c:pt>
                <c:pt idx="477">
                  <c:v>40.375000000000007</c:v>
                </c:pt>
                <c:pt idx="478">
                  <c:v>40.25</c:v>
                </c:pt>
                <c:pt idx="479">
                  <c:v>40.125</c:v>
                </c:pt>
                <c:pt idx="480">
                  <c:v>40</c:v>
                </c:pt>
                <c:pt idx="481">
                  <c:v>39.875000000000007</c:v>
                </c:pt>
                <c:pt idx="482">
                  <c:v>39.75</c:v>
                </c:pt>
                <c:pt idx="483">
                  <c:v>39.625</c:v>
                </c:pt>
                <c:pt idx="484">
                  <c:v>39.5</c:v>
                </c:pt>
                <c:pt idx="485">
                  <c:v>39.375000000000007</c:v>
                </c:pt>
                <c:pt idx="486">
                  <c:v>39.249999999999993</c:v>
                </c:pt>
                <c:pt idx="487">
                  <c:v>39.125</c:v>
                </c:pt>
                <c:pt idx="488">
                  <c:v>39</c:v>
                </c:pt>
                <c:pt idx="489">
                  <c:v>38.875000000000007</c:v>
                </c:pt>
                <c:pt idx="490">
                  <c:v>38.749999999999993</c:v>
                </c:pt>
                <c:pt idx="491">
                  <c:v>38.625</c:v>
                </c:pt>
                <c:pt idx="492">
                  <c:v>38.5</c:v>
                </c:pt>
                <c:pt idx="493">
                  <c:v>38.375</c:v>
                </c:pt>
                <c:pt idx="494">
                  <c:v>38.249999999999993</c:v>
                </c:pt>
                <c:pt idx="495">
                  <c:v>38.125</c:v>
                </c:pt>
                <c:pt idx="496">
                  <c:v>38</c:v>
                </c:pt>
                <c:pt idx="497">
                  <c:v>37.875</c:v>
                </c:pt>
                <c:pt idx="498">
                  <c:v>37.749999999999993</c:v>
                </c:pt>
                <c:pt idx="499">
                  <c:v>37.625</c:v>
                </c:pt>
                <c:pt idx="500">
                  <c:v>37.5</c:v>
                </c:pt>
                <c:pt idx="501">
                  <c:v>37.375</c:v>
                </c:pt>
                <c:pt idx="502">
                  <c:v>37.250000000000007</c:v>
                </c:pt>
                <c:pt idx="503">
                  <c:v>37.125</c:v>
                </c:pt>
                <c:pt idx="504">
                  <c:v>37</c:v>
                </c:pt>
                <c:pt idx="505">
                  <c:v>36.875</c:v>
                </c:pt>
                <c:pt idx="506">
                  <c:v>36.750000000000007</c:v>
                </c:pt>
                <c:pt idx="507">
                  <c:v>36.625</c:v>
                </c:pt>
                <c:pt idx="508">
                  <c:v>36.5</c:v>
                </c:pt>
                <c:pt idx="509">
                  <c:v>36.375</c:v>
                </c:pt>
                <c:pt idx="510">
                  <c:v>36.250000000000007</c:v>
                </c:pt>
                <c:pt idx="511">
                  <c:v>36.124999999999993</c:v>
                </c:pt>
                <c:pt idx="512">
                  <c:v>36</c:v>
                </c:pt>
                <c:pt idx="513">
                  <c:v>35.875</c:v>
                </c:pt>
                <c:pt idx="514">
                  <c:v>35.75</c:v>
                </c:pt>
                <c:pt idx="515">
                  <c:v>35.625</c:v>
                </c:pt>
                <c:pt idx="516">
                  <c:v>35.5</c:v>
                </c:pt>
                <c:pt idx="517">
                  <c:v>35.375</c:v>
                </c:pt>
                <c:pt idx="518">
                  <c:v>35.25</c:v>
                </c:pt>
                <c:pt idx="519">
                  <c:v>35.125</c:v>
                </c:pt>
                <c:pt idx="520">
                  <c:v>35</c:v>
                </c:pt>
                <c:pt idx="521">
                  <c:v>34.875</c:v>
                </c:pt>
                <c:pt idx="522">
                  <c:v>34.75</c:v>
                </c:pt>
                <c:pt idx="523">
                  <c:v>34.625</c:v>
                </c:pt>
                <c:pt idx="524">
                  <c:v>34.5</c:v>
                </c:pt>
                <c:pt idx="525">
                  <c:v>34.375</c:v>
                </c:pt>
                <c:pt idx="526">
                  <c:v>34.25</c:v>
                </c:pt>
                <c:pt idx="527">
                  <c:v>34.125</c:v>
                </c:pt>
                <c:pt idx="528">
                  <c:v>34</c:v>
                </c:pt>
                <c:pt idx="529">
                  <c:v>33.875</c:v>
                </c:pt>
                <c:pt idx="530">
                  <c:v>33.75</c:v>
                </c:pt>
                <c:pt idx="531">
                  <c:v>33.625</c:v>
                </c:pt>
                <c:pt idx="532">
                  <c:v>33.5</c:v>
                </c:pt>
                <c:pt idx="533">
                  <c:v>33.375</c:v>
                </c:pt>
                <c:pt idx="534">
                  <c:v>33.25</c:v>
                </c:pt>
                <c:pt idx="535">
                  <c:v>33.125</c:v>
                </c:pt>
                <c:pt idx="536">
                  <c:v>33</c:v>
                </c:pt>
                <c:pt idx="537">
                  <c:v>32.875</c:v>
                </c:pt>
                <c:pt idx="538">
                  <c:v>32.75</c:v>
                </c:pt>
                <c:pt idx="539">
                  <c:v>32.625</c:v>
                </c:pt>
                <c:pt idx="540">
                  <c:v>32.5</c:v>
                </c:pt>
                <c:pt idx="541">
                  <c:v>32.375</c:v>
                </c:pt>
                <c:pt idx="542">
                  <c:v>32.25</c:v>
                </c:pt>
                <c:pt idx="543">
                  <c:v>32.125</c:v>
                </c:pt>
                <c:pt idx="544">
                  <c:v>32</c:v>
                </c:pt>
                <c:pt idx="545">
                  <c:v>31.875</c:v>
                </c:pt>
                <c:pt idx="546">
                  <c:v>31.75</c:v>
                </c:pt>
                <c:pt idx="547">
                  <c:v>31.625</c:v>
                </c:pt>
                <c:pt idx="548">
                  <c:v>31.5</c:v>
                </c:pt>
                <c:pt idx="549">
                  <c:v>31.375</c:v>
                </c:pt>
                <c:pt idx="550">
                  <c:v>31.25</c:v>
                </c:pt>
                <c:pt idx="551">
                  <c:v>31.125</c:v>
                </c:pt>
                <c:pt idx="552">
                  <c:v>31</c:v>
                </c:pt>
                <c:pt idx="553">
                  <c:v>30.875</c:v>
                </c:pt>
                <c:pt idx="554">
                  <c:v>30.75</c:v>
                </c:pt>
                <c:pt idx="555">
                  <c:v>30.625</c:v>
                </c:pt>
                <c:pt idx="556">
                  <c:v>30.5</c:v>
                </c:pt>
                <c:pt idx="557">
                  <c:v>30.375</c:v>
                </c:pt>
                <c:pt idx="558">
                  <c:v>30.25</c:v>
                </c:pt>
                <c:pt idx="559">
                  <c:v>30.125</c:v>
                </c:pt>
                <c:pt idx="560">
                  <c:v>30</c:v>
                </c:pt>
                <c:pt idx="561">
                  <c:v>29.875</c:v>
                </c:pt>
                <c:pt idx="562">
                  <c:v>29.75</c:v>
                </c:pt>
                <c:pt idx="563">
                  <c:v>29.625</c:v>
                </c:pt>
                <c:pt idx="564">
                  <c:v>29.5</c:v>
                </c:pt>
                <c:pt idx="565">
                  <c:v>29.375</c:v>
                </c:pt>
                <c:pt idx="566">
                  <c:v>29.25</c:v>
                </c:pt>
                <c:pt idx="567">
                  <c:v>29.125</c:v>
                </c:pt>
                <c:pt idx="568">
                  <c:v>29</c:v>
                </c:pt>
                <c:pt idx="569">
                  <c:v>28.875</c:v>
                </c:pt>
                <c:pt idx="570">
                  <c:v>28.75</c:v>
                </c:pt>
                <c:pt idx="571">
                  <c:v>28.625</c:v>
                </c:pt>
                <c:pt idx="572">
                  <c:v>28.5</c:v>
                </c:pt>
                <c:pt idx="573">
                  <c:v>28.375</c:v>
                </c:pt>
                <c:pt idx="574">
                  <c:v>28.25</c:v>
                </c:pt>
                <c:pt idx="575">
                  <c:v>28.125</c:v>
                </c:pt>
                <c:pt idx="576">
                  <c:v>28</c:v>
                </c:pt>
                <c:pt idx="577">
                  <c:v>27.875</c:v>
                </c:pt>
                <c:pt idx="578">
                  <c:v>27.75</c:v>
                </c:pt>
                <c:pt idx="579">
                  <c:v>27.625</c:v>
                </c:pt>
                <c:pt idx="580">
                  <c:v>27.5</c:v>
                </c:pt>
                <c:pt idx="581">
                  <c:v>27.375</c:v>
                </c:pt>
                <c:pt idx="582">
                  <c:v>27.25</c:v>
                </c:pt>
                <c:pt idx="583">
                  <c:v>27.125</c:v>
                </c:pt>
                <c:pt idx="584">
                  <c:v>27</c:v>
                </c:pt>
                <c:pt idx="585">
                  <c:v>26.875</c:v>
                </c:pt>
                <c:pt idx="586">
                  <c:v>26.75</c:v>
                </c:pt>
                <c:pt idx="587">
                  <c:v>26.625</c:v>
                </c:pt>
                <c:pt idx="588">
                  <c:v>26.5</c:v>
                </c:pt>
                <c:pt idx="589">
                  <c:v>26.375</c:v>
                </c:pt>
                <c:pt idx="590">
                  <c:v>26.25</c:v>
                </c:pt>
                <c:pt idx="591">
                  <c:v>26.125</c:v>
                </c:pt>
                <c:pt idx="592">
                  <c:v>26</c:v>
                </c:pt>
                <c:pt idx="593">
                  <c:v>25.875</c:v>
                </c:pt>
                <c:pt idx="594">
                  <c:v>25.75</c:v>
                </c:pt>
                <c:pt idx="595">
                  <c:v>25.625</c:v>
                </c:pt>
                <c:pt idx="596">
                  <c:v>25.5</c:v>
                </c:pt>
                <c:pt idx="597">
                  <c:v>25.375</c:v>
                </c:pt>
                <c:pt idx="598">
                  <c:v>25.25</c:v>
                </c:pt>
                <c:pt idx="599">
                  <c:v>25.125</c:v>
                </c:pt>
                <c:pt idx="600">
                  <c:v>25</c:v>
                </c:pt>
                <c:pt idx="601">
                  <c:v>24.875</c:v>
                </c:pt>
                <c:pt idx="602">
                  <c:v>24.75</c:v>
                </c:pt>
                <c:pt idx="603">
                  <c:v>24.625</c:v>
                </c:pt>
                <c:pt idx="604">
                  <c:v>24.5</c:v>
                </c:pt>
                <c:pt idx="605">
                  <c:v>24.375</c:v>
                </c:pt>
                <c:pt idx="606">
                  <c:v>24.25</c:v>
                </c:pt>
                <c:pt idx="607">
                  <c:v>24.125</c:v>
                </c:pt>
                <c:pt idx="608">
                  <c:v>24</c:v>
                </c:pt>
                <c:pt idx="609">
                  <c:v>23.875</c:v>
                </c:pt>
                <c:pt idx="610">
                  <c:v>23.75</c:v>
                </c:pt>
                <c:pt idx="611">
                  <c:v>23.625</c:v>
                </c:pt>
                <c:pt idx="612">
                  <c:v>23.5</c:v>
                </c:pt>
                <c:pt idx="613">
                  <c:v>23.375</c:v>
                </c:pt>
                <c:pt idx="614">
                  <c:v>23.25</c:v>
                </c:pt>
                <c:pt idx="615">
                  <c:v>23.125</c:v>
                </c:pt>
                <c:pt idx="616">
                  <c:v>23</c:v>
                </c:pt>
                <c:pt idx="617">
                  <c:v>22.875</c:v>
                </c:pt>
                <c:pt idx="618">
                  <c:v>22.75</c:v>
                </c:pt>
                <c:pt idx="619">
                  <c:v>22.625</c:v>
                </c:pt>
                <c:pt idx="620">
                  <c:v>22.5</c:v>
                </c:pt>
                <c:pt idx="621">
                  <c:v>22.375</c:v>
                </c:pt>
                <c:pt idx="622">
                  <c:v>22.25</c:v>
                </c:pt>
                <c:pt idx="623">
                  <c:v>22.125</c:v>
                </c:pt>
                <c:pt idx="624">
                  <c:v>22</c:v>
                </c:pt>
                <c:pt idx="625">
                  <c:v>21.875</c:v>
                </c:pt>
                <c:pt idx="626">
                  <c:v>21.75</c:v>
                </c:pt>
                <c:pt idx="627">
                  <c:v>21.625</c:v>
                </c:pt>
                <c:pt idx="628">
                  <c:v>21.5</c:v>
                </c:pt>
                <c:pt idx="629">
                  <c:v>21.375</c:v>
                </c:pt>
                <c:pt idx="630">
                  <c:v>21.25</c:v>
                </c:pt>
                <c:pt idx="631">
                  <c:v>21.125</c:v>
                </c:pt>
                <c:pt idx="632">
                  <c:v>21</c:v>
                </c:pt>
                <c:pt idx="633">
                  <c:v>20.875</c:v>
                </c:pt>
                <c:pt idx="634">
                  <c:v>20.75</c:v>
                </c:pt>
                <c:pt idx="635">
                  <c:v>20.625</c:v>
                </c:pt>
                <c:pt idx="636">
                  <c:v>20.5</c:v>
                </c:pt>
                <c:pt idx="637">
                  <c:v>20.375</c:v>
                </c:pt>
                <c:pt idx="638">
                  <c:v>20.25</c:v>
                </c:pt>
                <c:pt idx="639">
                  <c:v>20.125</c:v>
                </c:pt>
                <c:pt idx="640">
                  <c:v>20</c:v>
                </c:pt>
                <c:pt idx="641">
                  <c:v>19.875</c:v>
                </c:pt>
                <c:pt idx="642">
                  <c:v>19.75</c:v>
                </c:pt>
                <c:pt idx="643">
                  <c:v>19.625</c:v>
                </c:pt>
                <c:pt idx="644">
                  <c:v>19.5</c:v>
                </c:pt>
                <c:pt idx="645">
                  <c:v>19.375</c:v>
                </c:pt>
                <c:pt idx="646">
                  <c:v>19.25</c:v>
                </c:pt>
                <c:pt idx="647">
                  <c:v>19.125</c:v>
                </c:pt>
                <c:pt idx="648">
                  <c:v>19</c:v>
                </c:pt>
                <c:pt idx="649">
                  <c:v>18.875</c:v>
                </c:pt>
                <c:pt idx="650">
                  <c:v>18.75</c:v>
                </c:pt>
                <c:pt idx="651">
                  <c:v>18.625</c:v>
                </c:pt>
                <c:pt idx="652">
                  <c:v>18.5</c:v>
                </c:pt>
                <c:pt idx="653">
                  <c:v>18.375</c:v>
                </c:pt>
                <c:pt idx="654">
                  <c:v>18.25</c:v>
                </c:pt>
                <c:pt idx="655">
                  <c:v>18.125</c:v>
                </c:pt>
                <c:pt idx="656">
                  <c:v>18</c:v>
                </c:pt>
                <c:pt idx="657">
                  <c:v>17.875</c:v>
                </c:pt>
                <c:pt idx="658">
                  <c:v>17.75</c:v>
                </c:pt>
                <c:pt idx="659">
                  <c:v>17.625</c:v>
                </c:pt>
                <c:pt idx="660">
                  <c:v>17.5</c:v>
                </c:pt>
                <c:pt idx="661">
                  <c:v>17.375</c:v>
                </c:pt>
                <c:pt idx="662">
                  <c:v>17.25</c:v>
                </c:pt>
                <c:pt idx="663">
                  <c:v>17.125</c:v>
                </c:pt>
                <c:pt idx="664">
                  <c:v>17</c:v>
                </c:pt>
                <c:pt idx="665">
                  <c:v>16.875</c:v>
                </c:pt>
                <c:pt idx="666">
                  <c:v>16.75</c:v>
                </c:pt>
                <c:pt idx="667">
                  <c:v>16.625</c:v>
                </c:pt>
                <c:pt idx="668">
                  <c:v>16.5</c:v>
                </c:pt>
                <c:pt idx="669">
                  <c:v>16.375</c:v>
                </c:pt>
                <c:pt idx="670">
                  <c:v>16.25</c:v>
                </c:pt>
                <c:pt idx="671">
                  <c:v>16.125</c:v>
                </c:pt>
                <c:pt idx="672">
                  <c:v>16</c:v>
                </c:pt>
                <c:pt idx="673">
                  <c:v>15.875</c:v>
                </c:pt>
                <c:pt idx="674">
                  <c:v>15.75</c:v>
                </c:pt>
                <c:pt idx="675">
                  <c:v>15.625</c:v>
                </c:pt>
                <c:pt idx="676">
                  <c:v>15.5</c:v>
                </c:pt>
                <c:pt idx="677">
                  <c:v>15.375</c:v>
                </c:pt>
                <c:pt idx="678">
                  <c:v>15.25</c:v>
                </c:pt>
                <c:pt idx="679">
                  <c:v>15.125</c:v>
                </c:pt>
                <c:pt idx="680">
                  <c:v>15</c:v>
                </c:pt>
                <c:pt idx="681">
                  <c:v>14.875</c:v>
                </c:pt>
                <c:pt idx="682">
                  <c:v>14.75</c:v>
                </c:pt>
                <c:pt idx="683">
                  <c:v>14.625</c:v>
                </c:pt>
                <c:pt idx="684">
                  <c:v>14.5</c:v>
                </c:pt>
                <c:pt idx="685">
                  <c:v>14.375</c:v>
                </c:pt>
                <c:pt idx="686">
                  <c:v>14.25</c:v>
                </c:pt>
                <c:pt idx="687">
                  <c:v>14.125</c:v>
                </c:pt>
                <c:pt idx="688">
                  <c:v>14</c:v>
                </c:pt>
                <c:pt idx="689">
                  <c:v>13.875</c:v>
                </c:pt>
                <c:pt idx="690">
                  <c:v>13.75</c:v>
                </c:pt>
                <c:pt idx="691">
                  <c:v>13.625</c:v>
                </c:pt>
                <c:pt idx="692">
                  <c:v>13.5</c:v>
                </c:pt>
                <c:pt idx="693">
                  <c:v>13.375</c:v>
                </c:pt>
                <c:pt idx="694">
                  <c:v>13.25</c:v>
                </c:pt>
                <c:pt idx="695">
                  <c:v>13.125</c:v>
                </c:pt>
                <c:pt idx="696">
                  <c:v>13</c:v>
                </c:pt>
                <c:pt idx="697">
                  <c:v>12.875</c:v>
                </c:pt>
                <c:pt idx="698">
                  <c:v>12.75</c:v>
                </c:pt>
                <c:pt idx="699">
                  <c:v>12.625</c:v>
                </c:pt>
                <c:pt idx="700">
                  <c:v>12.5</c:v>
                </c:pt>
                <c:pt idx="701">
                  <c:v>12.375</c:v>
                </c:pt>
                <c:pt idx="702">
                  <c:v>12.25</c:v>
                </c:pt>
                <c:pt idx="703">
                  <c:v>12.125</c:v>
                </c:pt>
                <c:pt idx="704">
                  <c:v>12</c:v>
                </c:pt>
                <c:pt idx="705">
                  <c:v>11.875</c:v>
                </c:pt>
                <c:pt idx="706">
                  <c:v>11.75</c:v>
                </c:pt>
                <c:pt idx="707">
                  <c:v>11.625</c:v>
                </c:pt>
                <c:pt idx="708">
                  <c:v>11.5</c:v>
                </c:pt>
                <c:pt idx="709">
                  <c:v>11.375</c:v>
                </c:pt>
                <c:pt idx="710">
                  <c:v>11.25</c:v>
                </c:pt>
                <c:pt idx="711">
                  <c:v>11.125</c:v>
                </c:pt>
                <c:pt idx="712">
                  <c:v>11</c:v>
                </c:pt>
                <c:pt idx="713">
                  <c:v>10.875</c:v>
                </c:pt>
                <c:pt idx="714">
                  <c:v>10.75</c:v>
                </c:pt>
                <c:pt idx="715">
                  <c:v>10.625</c:v>
                </c:pt>
                <c:pt idx="716">
                  <c:v>10.5</c:v>
                </c:pt>
                <c:pt idx="717">
                  <c:v>10.375</c:v>
                </c:pt>
                <c:pt idx="718">
                  <c:v>10.25</c:v>
                </c:pt>
                <c:pt idx="719">
                  <c:v>10.125</c:v>
                </c:pt>
                <c:pt idx="720">
                  <c:v>10</c:v>
                </c:pt>
                <c:pt idx="721">
                  <c:v>9.875</c:v>
                </c:pt>
                <c:pt idx="722">
                  <c:v>9.75</c:v>
                </c:pt>
                <c:pt idx="723">
                  <c:v>9.625</c:v>
                </c:pt>
                <c:pt idx="724">
                  <c:v>9.5</c:v>
                </c:pt>
                <c:pt idx="725">
                  <c:v>9.375</c:v>
                </c:pt>
                <c:pt idx="726">
                  <c:v>9.25</c:v>
                </c:pt>
                <c:pt idx="727">
                  <c:v>9.125</c:v>
                </c:pt>
                <c:pt idx="728">
                  <c:v>9</c:v>
                </c:pt>
                <c:pt idx="729">
                  <c:v>8.875</c:v>
                </c:pt>
                <c:pt idx="730">
                  <c:v>8.75</c:v>
                </c:pt>
                <c:pt idx="731">
                  <c:v>8.625</c:v>
                </c:pt>
                <c:pt idx="732">
                  <c:v>8.5</c:v>
                </c:pt>
                <c:pt idx="733">
                  <c:v>8.375</c:v>
                </c:pt>
                <c:pt idx="734">
                  <c:v>8.25</c:v>
                </c:pt>
                <c:pt idx="735">
                  <c:v>8.125</c:v>
                </c:pt>
                <c:pt idx="736">
                  <c:v>8</c:v>
                </c:pt>
                <c:pt idx="737">
                  <c:v>7.875</c:v>
                </c:pt>
                <c:pt idx="738">
                  <c:v>7.75</c:v>
                </c:pt>
                <c:pt idx="739">
                  <c:v>7.625</c:v>
                </c:pt>
                <c:pt idx="740">
                  <c:v>7.5</c:v>
                </c:pt>
                <c:pt idx="741">
                  <c:v>7.375</c:v>
                </c:pt>
                <c:pt idx="742">
                  <c:v>7.25</c:v>
                </c:pt>
                <c:pt idx="743">
                  <c:v>7.125</c:v>
                </c:pt>
                <c:pt idx="744">
                  <c:v>7</c:v>
                </c:pt>
                <c:pt idx="745">
                  <c:v>6.875</c:v>
                </c:pt>
                <c:pt idx="746">
                  <c:v>6.75</c:v>
                </c:pt>
                <c:pt idx="747">
                  <c:v>6.625</c:v>
                </c:pt>
                <c:pt idx="748">
                  <c:v>6.5</c:v>
                </c:pt>
                <c:pt idx="749">
                  <c:v>6.375</c:v>
                </c:pt>
                <c:pt idx="750">
                  <c:v>6.25</c:v>
                </c:pt>
                <c:pt idx="751">
                  <c:v>6.125</c:v>
                </c:pt>
                <c:pt idx="752">
                  <c:v>6</c:v>
                </c:pt>
                <c:pt idx="753">
                  <c:v>5.875</c:v>
                </c:pt>
                <c:pt idx="754">
                  <c:v>5.75</c:v>
                </c:pt>
                <c:pt idx="755">
                  <c:v>5.625</c:v>
                </c:pt>
                <c:pt idx="756">
                  <c:v>5.5</c:v>
                </c:pt>
                <c:pt idx="757">
                  <c:v>5.375</c:v>
                </c:pt>
                <c:pt idx="758">
                  <c:v>5.25</c:v>
                </c:pt>
                <c:pt idx="759">
                  <c:v>5.125</c:v>
                </c:pt>
                <c:pt idx="760">
                  <c:v>5</c:v>
                </c:pt>
                <c:pt idx="761">
                  <c:v>4.875</c:v>
                </c:pt>
                <c:pt idx="762">
                  <c:v>4.75</c:v>
                </c:pt>
                <c:pt idx="763">
                  <c:v>4.625</c:v>
                </c:pt>
                <c:pt idx="764">
                  <c:v>4.5</c:v>
                </c:pt>
                <c:pt idx="765">
                  <c:v>4.375</c:v>
                </c:pt>
                <c:pt idx="766">
                  <c:v>4.25</c:v>
                </c:pt>
                <c:pt idx="767">
                  <c:v>4.125</c:v>
                </c:pt>
                <c:pt idx="768">
                  <c:v>4</c:v>
                </c:pt>
                <c:pt idx="769">
                  <c:v>3.875</c:v>
                </c:pt>
                <c:pt idx="770">
                  <c:v>3.75</c:v>
                </c:pt>
                <c:pt idx="771">
                  <c:v>3.625</c:v>
                </c:pt>
                <c:pt idx="772">
                  <c:v>3.5</c:v>
                </c:pt>
                <c:pt idx="773">
                  <c:v>3.375</c:v>
                </c:pt>
                <c:pt idx="774">
                  <c:v>3.25</c:v>
                </c:pt>
                <c:pt idx="775">
                  <c:v>3.125</c:v>
                </c:pt>
                <c:pt idx="776">
                  <c:v>3</c:v>
                </c:pt>
                <c:pt idx="777">
                  <c:v>2.875</c:v>
                </c:pt>
                <c:pt idx="778">
                  <c:v>2.75</c:v>
                </c:pt>
                <c:pt idx="779">
                  <c:v>2.625</c:v>
                </c:pt>
                <c:pt idx="780">
                  <c:v>2.5</c:v>
                </c:pt>
                <c:pt idx="781">
                  <c:v>2.375</c:v>
                </c:pt>
                <c:pt idx="782">
                  <c:v>2.25</c:v>
                </c:pt>
                <c:pt idx="783">
                  <c:v>2.125</c:v>
                </c:pt>
                <c:pt idx="784">
                  <c:v>2</c:v>
                </c:pt>
                <c:pt idx="785">
                  <c:v>1.875</c:v>
                </c:pt>
                <c:pt idx="786">
                  <c:v>1.75</c:v>
                </c:pt>
                <c:pt idx="787">
                  <c:v>1.625</c:v>
                </c:pt>
                <c:pt idx="788">
                  <c:v>1.5</c:v>
                </c:pt>
                <c:pt idx="789">
                  <c:v>1.375</c:v>
                </c:pt>
                <c:pt idx="790">
                  <c:v>1.25</c:v>
                </c:pt>
                <c:pt idx="791">
                  <c:v>1.125</c:v>
                </c:pt>
                <c:pt idx="792">
                  <c:v>1</c:v>
                </c:pt>
                <c:pt idx="793">
                  <c:v>0.875</c:v>
                </c:pt>
                <c:pt idx="794">
                  <c:v>0.75</c:v>
                </c:pt>
                <c:pt idx="795">
                  <c:v>0.625</c:v>
                </c:pt>
                <c:pt idx="796">
                  <c:v>0.5</c:v>
                </c:pt>
                <c:pt idx="797">
                  <c:v>0.375</c:v>
                </c:pt>
                <c:pt idx="798">
                  <c:v>0.25</c:v>
                </c:pt>
                <c:pt idx="799">
                  <c:v>0.125</c:v>
                </c:pt>
                <c:pt idx="8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3C-6D41-936D-3BF3E236A78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Anvil!$D$2:$D$802</c:f>
              <c:numCache>
                <c:formatCode>General</c:formatCode>
                <c:ptCount val="80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98</c:v>
                </c:pt>
                <c:pt idx="17">
                  <c:v>98</c:v>
                </c:pt>
                <c:pt idx="18">
                  <c:v>98</c:v>
                </c:pt>
                <c:pt idx="19">
                  <c:v>98</c:v>
                </c:pt>
                <c:pt idx="20">
                  <c:v>98</c:v>
                </c:pt>
                <c:pt idx="21">
                  <c:v>98</c:v>
                </c:pt>
                <c:pt idx="22">
                  <c:v>98</c:v>
                </c:pt>
                <c:pt idx="23">
                  <c:v>98</c:v>
                </c:pt>
                <c:pt idx="24">
                  <c:v>98</c:v>
                </c:pt>
                <c:pt idx="25">
                  <c:v>98</c:v>
                </c:pt>
                <c:pt idx="26">
                  <c:v>98</c:v>
                </c:pt>
                <c:pt idx="27">
                  <c:v>98</c:v>
                </c:pt>
                <c:pt idx="28">
                  <c:v>98</c:v>
                </c:pt>
                <c:pt idx="29">
                  <c:v>98</c:v>
                </c:pt>
                <c:pt idx="30">
                  <c:v>98</c:v>
                </c:pt>
                <c:pt idx="31">
                  <c:v>98</c:v>
                </c:pt>
                <c:pt idx="32">
                  <c:v>96</c:v>
                </c:pt>
                <c:pt idx="33">
                  <c:v>96</c:v>
                </c:pt>
                <c:pt idx="34">
                  <c:v>96</c:v>
                </c:pt>
                <c:pt idx="35">
                  <c:v>96</c:v>
                </c:pt>
                <c:pt idx="36">
                  <c:v>96</c:v>
                </c:pt>
                <c:pt idx="37">
                  <c:v>96</c:v>
                </c:pt>
                <c:pt idx="38">
                  <c:v>96</c:v>
                </c:pt>
                <c:pt idx="39">
                  <c:v>96</c:v>
                </c:pt>
                <c:pt idx="40">
                  <c:v>96</c:v>
                </c:pt>
                <c:pt idx="41">
                  <c:v>96</c:v>
                </c:pt>
                <c:pt idx="42">
                  <c:v>96</c:v>
                </c:pt>
                <c:pt idx="43">
                  <c:v>96</c:v>
                </c:pt>
                <c:pt idx="44">
                  <c:v>96</c:v>
                </c:pt>
                <c:pt idx="45">
                  <c:v>96</c:v>
                </c:pt>
                <c:pt idx="46">
                  <c:v>96</c:v>
                </c:pt>
                <c:pt idx="47">
                  <c:v>96</c:v>
                </c:pt>
                <c:pt idx="48">
                  <c:v>94</c:v>
                </c:pt>
                <c:pt idx="49">
                  <c:v>94</c:v>
                </c:pt>
                <c:pt idx="50">
                  <c:v>94</c:v>
                </c:pt>
                <c:pt idx="51">
                  <c:v>94</c:v>
                </c:pt>
                <c:pt idx="52">
                  <c:v>94</c:v>
                </c:pt>
                <c:pt idx="53">
                  <c:v>94</c:v>
                </c:pt>
                <c:pt idx="54">
                  <c:v>94</c:v>
                </c:pt>
                <c:pt idx="55">
                  <c:v>94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94</c:v>
                </c:pt>
                <c:pt idx="60">
                  <c:v>94</c:v>
                </c:pt>
                <c:pt idx="61">
                  <c:v>94</c:v>
                </c:pt>
                <c:pt idx="62">
                  <c:v>94</c:v>
                </c:pt>
                <c:pt idx="63">
                  <c:v>94</c:v>
                </c:pt>
                <c:pt idx="64">
                  <c:v>92</c:v>
                </c:pt>
                <c:pt idx="65">
                  <c:v>92</c:v>
                </c:pt>
                <c:pt idx="66">
                  <c:v>92</c:v>
                </c:pt>
                <c:pt idx="67">
                  <c:v>92</c:v>
                </c:pt>
                <c:pt idx="68">
                  <c:v>92</c:v>
                </c:pt>
                <c:pt idx="69">
                  <c:v>92</c:v>
                </c:pt>
                <c:pt idx="70">
                  <c:v>92</c:v>
                </c:pt>
                <c:pt idx="71">
                  <c:v>92</c:v>
                </c:pt>
                <c:pt idx="72">
                  <c:v>92</c:v>
                </c:pt>
                <c:pt idx="73">
                  <c:v>92</c:v>
                </c:pt>
                <c:pt idx="74">
                  <c:v>92</c:v>
                </c:pt>
                <c:pt idx="75">
                  <c:v>92</c:v>
                </c:pt>
                <c:pt idx="76">
                  <c:v>92</c:v>
                </c:pt>
                <c:pt idx="77">
                  <c:v>92</c:v>
                </c:pt>
                <c:pt idx="78">
                  <c:v>92</c:v>
                </c:pt>
                <c:pt idx="79">
                  <c:v>92</c:v>
                </c:pt>
                <c:pt idx="80">
                  <c:v>90</c:v>
                </c:pt>
                <c:pt idx="81">
                  <c:v>90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90</c:v>
                </c:pt>
                <c:pt idx="91">
                  <c:v>90</c:v>
                </c:pt>
                <c:pt idx="92">
                  <c:v>90</c:v>
                </c:pt>
                <c:pt idx="93">
                  <c:v>90</c:v>
                </c:pt>
                <c:pt idx="94">
                  <c:v>90</c:v>
                </c:pt>
                <c:pt idx="95">
                  <c:v>90</c:v>
                </c:pt>
                <c:pt idx="96">
                  <c:v>88</c:v>
                </c:pt>
                <c:pt idx="97">
                  <c:v>88</c:v>
                </c:pt>
                <c:pt idx="98">
                  <c:v>88</c:v>
                </c:pt>
                <c:pt idx="99">
                  <c:v>88</c:v>
                </c:pt>
                <c:pt idx="100">
                  <c:v>88</c:v>
                </c:pt>
                <c:pt idx="101">
                  <c:v>88</c:v>
                </c:pt>
                <c:pt idx="102">
                  <c:v>88</c:v>
                </c:pt>
                <c:pt idx="103">
                  <c:v>88</c:v>
                </c:pt>
                <c:pt idx="104">
                  <c:v>88</c:v>
                </c:pt>
                <c:pt idx="105">
                  <c:v>88</c:v>
                </c:pt>
                <c:pt idx="106">
                  <c:v>88</c:v>
                </c:pt>
                <c:pt idx="107">
                  <c:v>88</c:v>
                </c:pt>
                <c:pt idx="108">
                  <c:v>88</c:v>
                </c:pt>
                <c:pt idx="109">
                  <c:v>88</c:v>
                </c:pt>
                <c:pt idx="110">
                  <c:v>88</c:v>
                </c:pt>
                <c:pt idx="111">
                  <c:v>88</c:v>
                </c:pt>
                <c:pt idx="112">
                  <c:v>86</c:v>
                </c:pt>
                <c:pt idx="113">
                  <c:v>86</c:v>
                </c:pt>
                <c:pt idx="114">
                  <c:v>86</c:v>
                </c:pt>
                <c:pt idx="115">
                  <c:v>86</c:v>
                </c:pt>
                <c:pt idx="116">
                  <c:v>86</c:v>
                </c:pt>
                <c:pt idx="117">
                  <c:v>86</c:v>
                </c:pt>
                <c:pt idx="118">
                  <c:v>86</c:v>
                </c:pt>
                <c:pt idx="119">
                  <c:v>86</c:v>
                </c:pt>
                <c:pt idx="120">
                  <c:v>86</c:v>
                </c:pt>
                <c:pt idx="121">
                  <c:v>86</c:v>
                </c:pt>
                <c:pt idx="122">
                  <c:v>86</c:v>
                </c:pt>
                <c:pt idx="123">
                  <c:v>86</c:v>
                </c:pt>
                <c:pt idx="124">
                  <c:v>86</c:v>
                </c:pt>
                <c:pt idx="125">
                  <c:v>86</c:v>
                </c:pt>
                <c:pt idx="126">
                  <c:v>86</c:v>
                </c:pt>
                <c:pt idx="127">
                  <c:v>86</c:v>
                </c:pt>
                <c:pt idx="128">
                  <c:v>84</c:v>
                </c:pt>
                <c:pt idx="129">
                  <c:v>84</c:v>
                </c:pt>
                <c:pt idx="130">
                  <c:v>84</c:v>
                </c:pt>
                <c:pt idx="131">
                  <c:v>84</c:v>
                </c:pt>
                <c:pt idx="132">
                  <c:v>84</c:v>
                </c:pt>
                <c:pt idx="133">
                  <c:v>84</c:v>
                </c:pt>
                <c:pt idx="134">
                  <c:v>84</c:v>
                </c:pt>
                <c:pt idx="135">
                  <c:v>84</c:v>
                </c:pt>
                <c:pt idx="136">
                  <c:v>84</c:v>
                </c:pt>
                <c:pt idx="137">
                  <c:v>84</c:v>
                </c:pt>
                <c:pt idx="138">
                  <c:v>84</c:v>
                </c:pt>
                <c:pt idx="139">
                  <c:v>84</c:v>
                </c:pt>
                <c:pt idx="140">
                  <c:v>84</c:v>
                </c:pt>
                <c:pt idx="141">
                  <c:v>84</c:v>
                </c:pt>
                <c:pt idx="142">
                  <c:v>84</c:v>
                </c:pt>
                <c:pt idx="143">
                  <c:v>84</c:v>
                </c:pt>
                <c:pt idx="144">
                  <c:v>82</c:v>
                </c:pt>
                <c:pt idx="145">
                  <c:v>82</c:v>
                </c:pt>
                <c:pt idx="146">
                  <c:v>82</c:v>
                </c:pt>
                <c:pt idx="147">
                  <c:v>82</c:v>
                </c:pt>
                <c:pt idx="148">
                  <c:v>82</c:v>
                </c:pt>
                <c:pt idx="149">
                  <c:v>82</c:v>
                </c:pt>
                <c:pt idx="150">
                  <c:v>82</c:v>
                </c:pt>
                <c:pt idx="151">
                  <c:v>82</c:v>
                </c:pt>
                <c:pt idx="152">
                  <c:v>82</c:v>
                </c:pt>
                <c:pt idx="153">
                  <c:v>82</c:v>
                </c:pt>
                <c:pt idx="154">
                  <c:v>82</c:v>
                </c:pt>
                <c:pt idx="155">
                  <c:v>82</c:v>
                </c:pt>
                <c:pt idx="156">
                  <c:v>82</c:v>
                </c:pt>
                <c:pt idx="157">
                  <c:v>82</c:v>
                </c:pt>
                <c:pt idx="158">
                  <c:v>82</c:v>
                </c:pt>
                <c:pt idx="159">
                  <c:v>82</c:v>
                </c:pt>
                <c:pt idx="160">
                  <c:v>80</c:v>
                </c:pt>
                <c:pt idx="161">
                  <c:v>80</c:v>
                </c:pt>
                <c:pt idx="162">
                  <c:v>80</c:v>
                </c:pt>
                <c:pt idx="163">
                  <c:v>80</c:v>
                </c:pt>
                <c:pt idx="164">
                  <c:v>80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80</c:v>
                </c:pt>
                <c:pt idx="170">
                  <c:v>80</c:v>
                </c:pt>
                <c:pt idx="171">
                  <c:v>80</c:v>
                </c:pt>
                <c:pt idx="172">
                  <c:v>80</c:v>
                </c:pt>
                <c:pt idx="173">
                  <c:v>80</c:v>
                </c:pt>
                <c:pt idx="174">
                  <c:v>80</c:v>
                </c:pt>
                <c:pt idx="175">
                  <c:v>80</c:v>
                </c:pt>
                <c:pt idx="176">
                  <c:v>78</c:v>
                </c:pt>
                <c:pt idx="177">
                  <c:v>78</c:v>
                </c:pt>
                <c:pt idx="178">
                  <c:v>78</c:v>
                </c:pt>
                <c:pt idx="179">
                  <c:v>78</c:v>
                </c:pt>
                <c:pt idx="180">
                  <c:v>78</c:v>
                </c:pt>
                <c:pt idx="181">
                  <c:v>78</c:v>
                </c:pt>
                <c:pt idx="182">
                  <c:v>78</c:v>
                </c:pt>
                <c:pt idx="183">
                  <c:v>78</c:v>
                </c:pt>
                <c:pt idx="184">
                  <c:v>78</c:v>
                </c:pt>
                <c:pt idx="185">
                  <c:v>78</c:v>
                </c:pt>
                <c:pt idx="186">
                  <c:v>78</c:v>
                </c:pt>
                <c:pt idx="187">
                  <c:v>78</c:v>
                </c:pt>
                <c:pt idx="188">
                  <c:v>78</c:v>
                </c:pt>
                <c:pt idx="189">
                  <c:v>78</c:v>
                </c:pt>
                <c:pt idx="190">
                  <c:v>78</c:v>
                </c:pt>
                <c:pt idx="191">
                  <c:v>78</c:v>
                </c:pt>
                <c:pt idx="192">
                  <c:v>76</c:v>
                </c:pt>
                <c:pt idx="193">
                  <c:v>76</c:v>
                </c:pt>
                <c:pt idx="194">
                  <c:v>76</c:v>
                </c:pt>
                <c:pt idx="195">
                  <c:v>76</c:v>
                </c:pt>
                <c:pt idx="196">
                  <c:v>76</c:v>
                </c:pt>
                <c:pt idx="197">
                  <c:v>76</c:v>
                </c:pt>
                <c:pt idx="198">
                  <c:v>76</c:v>
                </c:pt>
                <c:pt idx="199">
                  <c:v>76</c:v>
                </c:pt>
                <c:pt idx="200">
                  <c:v>76</c:v>
                </c:pt>
                <c:pt idx="201">
                  <c:v>76</c:v>
                </c:pt>
                <c:pt idx="202">
                  <c:v>76</c:v>
                </c:pt>
                <c:pt idx="203">
                  <c:v>76</c:v>
                </c:pt>
                <c:pt idx="204">
                  <c:v>76</c:v>
                </c:pt>
                <c:pt idx="205">
                  <c:v>76</c:v>
                </c:pt>
                <c:pt idx="206">
                  <c:v>76</c:v>
                </c:pt>
                <c:pt idx="207">
                  <c:v>76</c:v>
                </c:pt>
                <c:pt idx="208">
                  <c:v>74</c:v>
                </c:pt>
                <c:pt idx="209">
                  <c:v>74</c:v>
                </c:pt>
                <c:pt idx="210">
                  <c:v>74</c:v>
                </c:pt>
                <c:pt idx="211">
                  <c:v>74</c:v>
                </c:pt>
                <c:pt idx="212">
                  <c:v>74</c:v>
                </c:pt>
                <c:pt idx="213">
                  <c:v>74</c:v>
                </c:pt>
                <c:pt idx="214">
                  <c:v>74</c:v>
                </c:pt>
                <c:pt idx="215">
                  <c:v>74</c:v>
                </c:pt>
                <c:pt idx="216">
                  <c:v>74</c:v>
                </c:pt>
                <c:pt idx="217">
                  <c:v>74</c:v>
                </c:pt>
                <c:pt idx="218">
                  <c:v>74</c:v>
                </c:pt>
                <c:pt idx="219">
                  <c:v>74</c:v>
                </c:pt>
                <c:pt idx="220">
                  <c:v>74</c:v>
                </c:pt>
                <c:pt idx="221">
                  <c:v>74</c:v>
                </c:pt>
                <c:pt idx="222">
                  <c:v>74</c:v>
                </c:pt>
                <c:pt idx="223">
                  <c:v>74</c:v>
                </c:pt>
                <c:pt idx="224">
                  <c:v>72</c:v>
                </c:pt>
                <c:pt idx="225">
                  <c:v>72</c:v>
                </c:pt>
                <c:pt idx="226">
                  <c:v>72</c:v>
                </c:pt>
                <c:pt idx="227">
                  <c:v>72</c:v>
                </c:pt>
                <c:pt idx="228">
                  <c:v>72</c:v>
                </c:pt>
                <c:pt idx="229">
                  <c:v>72</c:v>
                </c:pt>
                <c:pt idx="230">
                  <c:v>72</c:v>
                </c:pt>
                <c:pt idx="231">
                  <c:v>72</c:v>
                </c:pt>
                <c:pt idx="232">
                  <c:v>72</c:v>
                </c:pt>
                <c:pt idx="233">
                  <c:v>72</c:v>
                </c:pt>
                <c:pt idx="234">
                  <c:v>72</c:v>
                </c:pt>
                <c:pt idx="235">
                  <c:v>72</c:v>
                </c:pt>
                <c:pt idx="236">
                  <c:v>72</c:v>
                </c:pt>
                <c:pt idx="237">
                  <c:v>72</c:v>
                </c:pt>
                <c:pt idx="238">
                  <c:v>72</c:v>
                </c:pt>
                <c:pt idx="239">
                  <c:v>72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68</c:v>
                </c:pt>
                <c:pt idx="257">
                  <c:v>68</c:v>
                </c:pt>
                <c:pt idx="258">
                  <c:v>68</c:v>
                </c:pt>
                <c:pt idx="259">
                  <c:v>68</c:v>
                </c:pt>
                <c:pt idx="260">
                  <c:v>68</c:v>
                </c:pt>
                <c:pt idx="261">
                  <c:v>68</c:v>
                </c:pt>
                <c:pt idx="262">
                  <c:v>68</c:v>
                </c:pt>
                <c:pt idx="263">
                  <c:v>68</c:v>
                </c:pt>
                <c:pt idx="264">
                  <c:v>68</c:v>
                </c:pt>
                <c:pt idx="265">
                  <c:v>68</c:v>
                </c:pt>
                <c:pt idx="266">
                  <c:v>68</c:v>
                </c:pt>
                <c:pt idx="267">
                  <c:v>68</c:v>
                </c:pt>
                <c:pt idx="268">
                  <c:v>68</c:v>
                </c:pt>
                <c:pt idx="269">
                  <c:v>68</c:v>
                </c:pt>
                <c:pt idx="270">
                  <c:v>68</c:v>
                </c:pt>
                <c:pt idx="271">
                  <c:v>68</c:v>
                </c:pt>
                <c:pt idx="272">
                  <c:v>66</c:v>
                </c:pt>
                <c:pt idx="273">
                  <c:v>66</c:v>
                </c:pt>
                <c:pt idx="274">
                  <c:v>66</c:v>
                </c:pt>
                <c:pt idx="275">
                  <c:v>66</c:v>
                </c:pt>
                <c:pt idx="276">
                  <c:v>66</c:v>
                </c:pt>
                <c:pt idx="277">
                  <c:v>66</c:v>
                </c:pt>
                <c:pt idx="278">
                  <c:v>66</c:v>
                </c:pt>
                <c:pt idx="279">
                  <c:v>66</c:v>
                </c:pt>
                <c:pt idx="280">
                  <c:v>66</c:v>
                </c:pt>
                <c:pt idx="281">
                  <c:v>66</c:v>
                </c:pt>
                <c:pt idx="282">
                  <c:v>66</c:v>
                </c:pt>
                <c:pt idx="283">
                  <c:v>66</c:v>
                </c:pt>
                <c:pt idx="284">
                  <c:v>66</c:v>
                </c:pt>
                <c:pt idx="285">
                  <c:v>66</c:v>
                </c:pt>
                <c:pt idx="286">
                  <c:v>66</c:v>
                </c:pt>
                <c:pt idx="287">
                  <c:v>66</c:v>
                </c:pt>
                <c:pt idx="288">
                  <c:v>64</c:v>
                </c:pt>
                <c:pt idx="289">
                  <c:v>64</c:v>
                </c:pt>
                <c:pt idx="290">
                  <c:v>64</c:v>
                </c:pt>
                <c:pt idx="291">
                  <c:v>64</c:v>
                </c:pt>
                <c:pt idx="292">
                  <c:v>64</c:v>
                </c:pt>
                <c:pt idx="293">
                  <c:v>64</c:v>
                </c:pt>
                <c:pt idx="294">
                  <c:v>64</c:v>
                </c:pt>
                <c:pt idx="295">
                  <c:v>64</c:v>
                </c:pt>
                <c:pt idx="296">
                  <c:v>64</c:v>
                </c:pt>
                <c:pt idx="297">
                  <c:v>64</c:v>
                </c:pt>
                <c:pt idx="298">
                  <c:v>64</c:v>
                </c:pt>
                <c:pt idx="299">
                  <c:v>64</c:v>
                </c:pt>
                <c:pt idx="300">
                  <c:v>64</c:v>
                </c:pt>
                <c:pt idx="301">
                  <c:v>64</c:v>
                </c:pt>
                <c:pt idx="302">
                  <c:v>64</c:v>
                </c:pt>
                <c:pt idx="303">
                  <c:v>64</c:v>
                </c:pt>
                <c:pt idx="304">
                  <c:v>62</c:v>
                </c:pt>
                <c:pt idx="305">
                  <c:v>62</c:v>
                </c:pt>
                <c:pt idx="306">
                  <c:v>62</c:v>
                </c:pt>
                <c:pt idx="307">
                  <c:v>62</c:v>
                </c:pt>
                <c:pt idx="308">
                  <c:v>62</c:v>
                </c:pt>
                <c:pt idx="309">
                  <c:v>62</c:v>
                </c:pt>
                <c:pt idx="310">
                  <c:v>62</c:v>
                </c:pt>
                <c:pt idx="311">
                  <c:v>62</c:v>
                </c:pt>
                <c:pt idx="312">
                  <c:v>62</c:v>
                </c:pt>
                <c:pt idx="313">
                  <c:v>62</c:v>
                </c:pt>
                <c:pt idx="314">
                  <c:v>62</c:v>
                </c:pt>
                <c:pt idx="315">
                  <c:v>62</c:v>
                </c:pt>
                <c:pt idx="316">
                  <c:v>62</c:v>
                </c:pt>
                <c:pt idx="317">
                  <c:v>62</c:v>
                </c:pt>
                <c:pt idx="318">
                  <c:v>62</c:v>
                </c:pt>
                <c:pt idx="319">
                  <c:v>62</c:v>
                </c:pt>
                <c:pt idx="320">
                  <c:v>60</c:v>
                </c:pt>
                <c:pt idx="321">
                  <c:v>60</c:v>
                </c:pt>
                <c:pt idx="322">
                  <c:v>60</c:v>
                </c:pt>
                <c:pt idx="323">
                  <c:v>60</c:v>
                </c:pt>
                <c:pt idx="324">
                  <c:v>60</c:v>
                </c:pt>
                <c:pt idx="325">
                  <c:v>60</c:v>
                </c:pt>
                <c:pt idx="326">
                  <c:v>60</c:v>
                </c:pt>
                <c:pt idx="327">
                  <c:v>60</c:v>
                </c:pt>
                <c:pt idx="328">
                  <c:v>60</c:v>
                </c:pt>
                <c:pt idx="329">
                  <c:v>60</c:v>
                </c:pt>
                <c:pt idx="330">
                  <c:v>60</c:v>
                </c:pt>
                <c:pt idx="331">
                  <c:v>60</c:v>
                </c:pt>
                <c:pt idx="332">
                  <c:v>60</c:v>
                </c:pt>
                <c:pt idx="333">
                  <c:v>60</c:v>
                </c:pt>
                <c:pt idx="334">
                  <c:v>60</c:v>
                </c:pt>
                <c:pt idx="335">
                  <c:v>60</c:v>
                </c:pt>
                <c:pt idx="336">
                  <c:v>58</c:v>
                </c:pt>
                <c:pt idx="337">
                  <c:v>58</c:v>
                </c:pt>
                <c:pt idx="338">
                  <c:v>58</c:v>
                </c:pt>
                <c:pt idx="339">
                  <c:v>58</c:v>
                </c:pt>
                <c:pt idx="340">
                  <c:v>58</c:v>
                </c:pt>
                <c:pt idx="341">
                  <c:v>58</c:v>
                </c:pt>
                <c:pt idx="342">
                  <c:v>58</c:v>
                </c:pt>
                <c:pt idx="343">
                  <c:v>58</c:v>
                </c:pt>
                <c:pt idx="344">
                  <c:v>58</c:v>
                </c:pt>
                <c:pt idx="345">
                  <c:v>58</c:v>
                </c:pt>
                <c:pt idx="346">
                  <c:v>58</c:v>
                </c:pt>
                <c:pt idx="347">
                  <c:v>58</c:v>
                </c:pt>
                <c:pt idx="348">
                  <c:v>58</c:v>
                </c:pt>
                <c:pt idx="349">
                  <c:v>58</c:v>
                </c:pt>
                <c:pt idx="350">
                  <c:v>58</c:v>
                </c:pt>
                <c:pt idx="351">
                  <c:v>58</c:v>
                </c:pt>
                <c:pt idx="352">
                  <c:v>56</c:v>
                </c:pt>
                <c:pt idx="353">
                  <c:v>56</c:v>
                </c:pt>
                <c:pt idx="354">
                  <c:v>56</c:v>
                </c:pt>
                <c:pt idx="355">
                  <c:v>56</c:v>
                </c:pt>
                <c:pt idx="356">
                  <c:v>56</c:v>
                </c:pt>
                <c:pt idx="357">
                  <c:v>56</c:v>
                </c:pt>
                <c:pt idx="358">
                  <c:v>56</c:v>
                </c:pt>
                <c:pt idx="359">
                  <c:v>56</c:v>
                </c:pt>
                <c:pt idx="360">
                  <c:v>56</c:v>
                </c:pt>
                <c:pt idx="361">
                  <c:v>56</c:v>
                </c:pt>
                <c:pt idx="362">
                  <c:v>56</c:v>
                </c:pt>
                <c:pt idx="363">
                  <c:v>56</c:v>
                </c:pt>
                <c:pt idx="364">
                  <c:v>56</c:v>
                </c:pt>
                <c:pt idx="365">
                  <c:v>56</c:v>
                </c:pt>
                <c:pt idx="366">
                  <c:v>56</c:v>
                </c:pt>
                <c:pt idx="367">
                  <c:v>56</c:v>
                </c:pt>
                <c:pt idx="368">
                  <c:v>54</c:v>
                </c:pt>
                <c:pt idx="369">
                  <c:v>54</c:v>
                </c:pt>
                <c:pt idx="370">
                  <c:v>54</c:v>
                </c:pt>
                <c:pt idx="371">
                  <c:v>54</c:v>
                </c:pt>
                <c:pt idx="372">
                  <c:v>54</c:v>
                </c:pt>
                <c:pt idx="373">
                  <c:v>54</c:v>
                </c:pt>
                <c:pt idx="374">
                  <c:v>54</c:v>
                </c:pt>
                <c:pt idx="375">
                  <c:v>54</c:v>
                </c:pt>
                <c:pt idx="376">
                  <c:v>54</c:v>
                </c:pt>
                <c:pt idx="377">
                  <c:v>54</c:v>
                </c:pt>
                <c:pt idx="378">
                  <c:v>54</c:v>
                </c:pt>
                <c:pt idx="379">
                  <c:v>54</c:v>
                </c:pt>
                <c:pt idx="380">
                  <c:v>54</c:v>
                </c:pt>
                <c:pt idx="381">
                  <c:v>54</c:v>
                </c:pt>
                <c:pt idx="382">
                  <c:v>54</c:v>
                </c:pt>
                <c:pt idx="383">
                  <c:v>54</c:v>
                </c:pt>
                <c:pt idx="384">
                  <c:v>52</c:v>
                </c:pt>
                <c:pt idx="385">
                  <c:v>52</c:v>
                </c:pt>
                <c:pt idx="386">
                  <c:v>52</c:v>
                </c:pt>
                <c:pt idx="387">
                  <c:v>52</c:v>
                </c:pt>
                <c:pt idx="388">
                  <c:v>52</c:v>
                </c:pt>
                <c:pt idx="389">
                  <c:v>52</c:v>
                </c:pt>
                <c:pt idx="390">
                  <c:v>52</c:v>
                </c:pt>
                <c:pt idx="391">
                  <c:v>52</c:v>
                </c:pt>
                <c:pt idx="392">
                  <c:v>52</c:v>
                </c:pt>
                <c:pt idx="393">
                  <c:v>52</c:v>
                </c:pt>
                <c:pt idx="394">
                  <c:v>52</c:v>
                </c:pt>
                <c:pt idx="395">
                  <c:v>52</c:v>
                </c:pt>
                <c:pt idx="396">
                  <c:v>52</c:v>
                </c:pt>
                <c:pt idx="397">
                  <c:v>52</c:v>
                </c:pt>
                <c:pt idx="398">
                  <c:v>52</c:v>
                </c:pt>
                <c:pt idx="399">
                  <c:v>52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48</c:v>
                </c:pt>
                <c:pt idx="417">
                  <c:v>48</c:v>
                </c:pt>
                <c:pt idx="418">
                  <c:v>48</c:v>
                </c:pt>
                <c:pt idx="419">
                  <c:v>48</c:v>
                </c:pt>
                <c:pt idx="420">
                  <c:v>48</c:v>
                </c:pt>
                <c:pt idx="421">
                  <c:v>48</c:v>
                </c:pt>
                <c:pt idx="422">
                  <c:v>48</c:v>
                </c:pt>
                <c:pt idx="423">
                  <c:v>48</c:v>
                </c:pt>
                <c:pt idx="424">
                  <c:v>48</c:v>
                </c:pt>
                <c:pt idx="425">
                  <c:v>48</c:v>
                </c:pt>
                <c:pt idx="426">
                  <c:v>48</c:v>
                </c:pt>
                <c:pt idx="427">
                  <c:v>48</c:v>
                </c:pt>
                <c:pt idx="428">
                  <c:v>48</c:v>
                </c:pt>
                <c:pt idx="429">
                  <c:v>48</c:v>
                </c:pt>
                <c:pt idx="430">
                  <c:v>48</c:v>
                </c:pt>
                <c:pt idx="431">
                  <c:v>48</c:v>
                </c:pt>
                <c:pt idx="432">
                  <c:v>46</c:v>
                </c:pt>
                <c:pt idx="433">
                  <c:v>46</c:v>
                </c:pt>
                <c:pt idx="434">
                  <c:v>46</c:v>
                </c:pt>
                <c:pt idx="435">
                  <c:v>46</c:v>
                </c:pt>
                <c:pt idx="436">
                  <c:v>46</c:v>
                </c:pt>
                <c:pt idx="437">
                  <c:v>46</c:v>
                </c:pt>
                <c:pt idx="438">
                  <c:v>46</c:v>
                </c:pt>
                <c:pt idx="439">
                  <c:v>46</c:v>
                </c:pt>
                <c:pt idx="440">
                  <c:v>46</c:v>
                </c:pt>
                <c:pt idx="441">
                  <c:v>46</c:v>
                </c:pt>
                <c:pt idx="442">
                  <c:v>46</c:v>
                </c:pt>
                <c:pt idx="443">
                  <c:v>46</c:v>
                </c:pt>
                <c:pt idx="444">
                  <c:v>46</c:v>
                </c:pt>
                <c:pt idx="445">
                  <c:v>46</c:v>
                </c:pt>
                <c:pt idx="446">
                  <c:v>46</c:v>
                </c:pt>
                <c:pt idx="447">
                  <c:v>46</c:v>
                </c:pt>
                <c:pt idx="448">
                  <c:v>44</c:v>
                </c:pt>
                <c:pt idx="449">
                  <c:v>44</c:v>
                </c:pt>
                <c:pt idx="450">
                  <c:v>44</c:v>
                </c:pt>
                <c:pt idx="451">
                  <c:v>44</c:v>
                </c:pt>
                <c:pt idx="452">
                  <c:v>44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</c:v>
                </c:pt>
                <c:pt idx="457">
                  <c:v>44</c:v>
                </c:pt>
                <c:pt idx="458">
                  <c:v>44</c:v>
                </c:pt>
                <c:pt idx="459">
                  <c:v>44</c:v>
                </c:pt>
                <c:pt idx="460">
                  <c:v>44</c:v>
                </c:pt>
                <c:pt idx="461">
                  <c:v>44</c:v>
                </c:pt>
                <c:pt idx="462">
                  <c:v>44</c:v>
                </c:pt>
                <c:pt idx="463">
                  <c:v>44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</c:v>
                </c:pt>
                <c:pt idx="468">
                  <c:v>42</c:v>
                </c:pt>
                <c:pt idx="469">
                  <c:v>42</c:v>
                </c:pt>
                <c:pt idx="470">
                  <c:v>42</c:v>
                </c:pt>
                <c:pt idx="471">
                  <c:v>42</c:v>
                </c:pt>
                <c:pt idx="472">
                  <c:v>42</c:v>
                </c:pt>
                <c:pt idx="473">
                  <c:v>42</c:v>
                </c:pt>
                <c:pt idx="474">
                  <c:v>42</c:v>
                </c:pt>
                <c:pt idx="475">
                  <c:v>42</c:v>
                </c:pt>
                <c:pt idx="476">
                  <c:v>42</c:v>
                </c:pt>
                <c:pt idx="477">
                  <c:v>42</c:v>
                </c:pt>
                <c:pt idx="478">
                  <c:v>42</c:v>
                </c:pt>
                <c:pt idx="479">
                  <c:v>42</c:v>
                </c:pt>
                <c:pt idx="480">
                  <c:v>40</c:v>
                </c:pt>
                <c:pt idx="481">
                  <c:v>40</c:v>
                </c:pt>
                <c:pt idx="482">
                  <c:v>40</c:v>
                </c:pt>
                <c:pt idx="483">
                  <c:v>40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</c:v>
                </c:pt>
                <c:pt idx="489">
                  <c:v>40</c:v>
                </c:pt>
                <c:pt idx="490">
                  <c:v>40</c:v>
                </c:pt>
                <c:pt idx="491">
                  <c:v>40</c:v>
                </c:pt>
                <c:pt idx="492">
                  <c:v>40</c:v>
                </c:pt>
                <c:pt idx="493">
                  <c:v>40</c:v>
                </c:pt>
                <c:pt idx="494">
                  <c:v>40</c:v>
                </c:pt>
                <c:pt idx="495">
                  <c:v>40</c:v>
                </c:pt>
                <c:pt idx="496">
                  <c:v>38</c:v>
                </c:pt>
                <c:pt idx="497">
                  <c:v>38</c:v>
                </c:pt>
                <c:pt idx="498">
                  <c:v>38</c:v>
                </c:pt>
                <c:pt idx="499">
                  <c:v>38</c:v>
                </c:pt>
                <c:pt idx="500">
                  <c:v>38</c:v>
                </c:pt>
                <c:pt idx="501">
                  <c:v>38</c:v>
                </c:pt>
                <c:pt idx="502">
                  <c:v>38</c:v>
                </c:pt>
                <c:pt idx="503">
                  <c:v>38</c:v>
                </c:pt>
                <c:pt idx="504">
                  <c:v>38</c:v>
                </c:pt>
                <c:pt idx="505">
                  <c:v>38</c:v>
                </c:pt>
                <c:pt idx="506">
                  <c:v>38</c:v>
                </c:pt>
                <c:pt idx="507">
                  <c:v>38</c:v>
                </c:pt>
                <c:pt idx="508">
                  <c:v>38</c:v>
                </c:pt>
                <c:pt idx="509">
                  <c:v>38</c:v>
                </c:pt>
                <c:pt idx="510">
                  <c:v>38</c:v>
                </c:pt>
                <c:pt idx="511">
                  <c:v>38</c:v>
                </c:pt>
                <c:pt idx="512">
                  <c:v>36</c:v>
                </c:pt>
                <c:pt idx="513">
                  <c:v>36</c:v>
                </c:pt>
                <c:pt idx="514">
                  <c:v>36</c:v>
                </c:pt>
                <c:pt idx="515">
                  <c:v>36</c:v>
                </c:pt>
                <c:pt idx="516">
                  <c:v>36</c:v>
                </c:pt>
                <c:pt idx="517">
                  <c:v>36</c:v>
                </c:pt>
                <c:pt idx="518">
                  <c:v>36</c:v>
                </c:pt>
                <c:pt idx="519">
                  <c:v>36</c:v>
                </c:pt>
                <c:pt idx="520">
                  <c:v>36</c:v>
                </c:pt>
                <c:pt idx="521">
                  <c:v>36</c:v>
                </c:pt>
                <c:pt idx="522">
                  <c:v>36</c:v>
                </c:pt>
                <c:pt idx="523">
                  <c:v>36</c:v>
                </c:pt>
                <c:pt idx="524">
                  <c:v>36</c:v>
                </c:pt>
                <c:pt idx="525">
                  <c:v>36</c:v>
                </c:pt>
                <c:pt idx="526">
                  <c:v>36</c:v>
                </c:pt>
                <c:pt idx="527">
                  <c:v>36</c:v>
                </c:pt>
                <c:pt idx="528">
                  <c:v>34</c:v>
                </c:pt>
                <c:pt idx="529">
                  <c:v>34</c:v>
                </c:pt>
                <c:pt idx="530">
                  <c:v>34</c:v>
                </c:pt>
                <c:pt idx="531">
                  <c:v>34</c:v>
                </c:pt>
                <c:pt idx="532">
                  <c:v>34</c:v>
                </c:pt>
                <c:pt idx="533">
                  <c:v>34</c:v>
                </c:pt>
                <c:pt idx="534">
                  <c:v>34</c:v>
                </c:pt>
                <c:pt idx="535">
                  <c:v>34</c:v>
                </c:pt>
                <c:pt idx="536">
                  <c:v>34</c:v>
                </c:pt>
                <c:pt idx="537">
                  <c:v>34</c:v>
                </c:pt>
                <c:pt idx="538">
                  <c:v>34</c:v>
                </c:pt>
                <c:pt idx="539">
                  <c:v>34</c:v>
                </c:pt>
                <c:pt idx="540">
                  <c:v>34</c:v>
                </c:pt>
                <c:pt idx="541">
                  <c:v>34</c:v>
                </c:pt>
                <c:pt idx="542">
                  <c:v>34</c:v>
                </c:pt>
                <c:pt idx="543">
                  <c:v>34</c:v>
                </c:pt>
                <c:pt idx="544">
                  <c:v>32</c:v>
                </c:pt>
                <c:pt idx="545">
                  <c:v>32</c:v>
                </c:pt>
                <c:pt idx="546">
                  <c:v>32</c:v>
                </c:pt>
                <c:pt idx="547">
                  <c:v>32</c:v>
                </c:pt>
                <c:pt idx="548">
                  <c:v>32</c:v>
                </c:pt>
                <c:pt idx="549">
                  <c:v>32</c:v>
                </c:pt>
                <c:pt idx="550">
                  <c:v>32</c:v>
                </c:pt>
                <c:pt idx="551">
                  <c:v>32</c:v>
                </c:pt>
                <c:pt idx="552">
                  <c:v>32</c:v>
                </c:pt>
                <c:pt idx="553">
                  <c:v>32</c:v>
                </c:pt>
                <c:pt idx="554">
                  <c:v>32</c:v>
                </c:pt>
                <c:pt idx="555">
                  <c:v>32</c:v>
                </c:pt>
                <c:pt idx="556">
                  <c:v>32</c:v>
                </c:pt>
                <c:pt idx="557">
                  <c:v>32</c:v>
                </c:pt>
                <c:pt idx="558">
                  <c:v>32</c:v>
                </c:pt>
                <c:pt idx="559">
                  <c:v>32</c:v>
                </c:pt>
                <c:pt idx="560">
                  <c:v>30</c:v>
                </c:pt>
                <c:pt idx="561">
                  <c:v>30</c:v>
                </c:pt>
                <c:pt idx="562">
                  <c:v>30</c:v>
                </c:pt>
                <c:pt idx="563">
                  <c:v>30</c:v>
                </c:pt>
                <c:pt idx="564">
                  <c:v>30</c:v>
                </c:pt>
                <c:pt idx="565">
                  <c:v>30</c:v>
                </c:pt>
                <c:pt idx="566">
                  <c:v>30</c:v>
                </c:pt>
                <c:pt idx="567">
                  <c:v>30</c:v>
                </c:pt>
                <c:pt idx="568">
                  <c:v>30</c:v>
                </c:pt>
                <c:pt idx="569">
                  <c:v>30</c:v>
                </c:pt>
                <c:pt idx="570">
                  <c:v>30</c:v>
                </c:pt>
                <c:pt idx="571">
                  <c:v>30</c:v>
                </c:pt>
                <c:pt idx="572">
                  <c:v>30</c:v>
                </c:pt>
                <c:pt idx="573">
                  <c:v>30</c:v>
                </c:pt>
                <c:pt idx="574">
                  <c:v>30</c:v>
                </c:pt>
                <c:pt idx="575">
                  <c:v>30</c:v>
                </c:pt>
                <c:pt idx="576">
                  <c:v>28</c:v>
                </c:pt>
                <c:pt idx="577">
                  <c:v>28</c:v>
                </c:pt>
                <c:pt idx="578">
                  <c:v>28</c:v>
                </c:pt>
                <c:pt idx="579">
                  <c:v>28</c:v>
                </c:pt>
                <c:pt idx="580">
                  <c:v>28</c:v>
                </c:pt>
                <c:pt idx="581">
                  <c:v>28</c:v>
                </c:pt>
                <c:pt idx="582">
                  <c:v>28</c:v>
                </c:pt>
                <c:pt idx="583">
                  <c:v>28</c:v>
                </c:pt>
                <c:pt idx="584">
                  <c:v>28</c:v>
                </c:pt>
                <c:pt idx="585">
                  <c:v>28</c:v>
                </c:pt>
                <c:pt idx="586">
                  <c:v>28</c:v>
                </c:pt>
                <c:pt idx="587">
                  <c:v>28</c:v>
                </c:pt>
                <c:pt idx="588">
                  <c:v>28</c:v>
                </c:pt>
                <c:pt idx="589">
                  <c:v>28</c:v>
                </c:pt>
                <c:pt idx="590">
                  <c:v>28</c:v>
                </c:pt>
                <c:pt idx="591">
                  <c:v>28</c:v>
                </c:pt>
                <c:pt idx="592">
                  <c:v>26</c:v>
                </c:pt>
                <c:pt idx="593">
                  <c:v>26</c:v>
                </c:pt>
                <c:pt idx="594">
                  <c:v>26</c:v>
                </c:pt>
                <c:pt idx="595">
                  <c:v>26</c:v>
                </c:pt>
                <c:pt idx="596">
                  <c:v>26</c:v>
                </c:pt>
                <c:pt idx="597">
                  <c:v>26</c:v>
                </c:pt>
                <c:pt idx="598">
                  <c:v>26</c:v>
                </c:pt>
                <c:pt idx="599">
                  <c:v>26</c:v>
                </c:pt>
                <c:pt idx="600">
                  <c:v>26</c:v>
                </c:pt>
                <c:pt idx="601">
                  <c:v>26</c:v>
                </c:pt>
                <c:pt idx="602">
                  <c:v>26</c:v>
                </c:pt>
                <c:pt idx="603">
                  <c:v>26</c:v>
                </c:pt>
                <c:pt idx="604">
                  <c:v>26</c:v>
                </c:pt>
                <c:pt idx="605">
                  <c:v>26</c:v>
                </c:pt>
                <c:pt idx="606">
                  <c:v>26</c:v>
                </c:pt>
                <c:pt idx="607">
                  <c:v>26</c:v>
                </c:pt>
                <c:pt idx="608">
                  <c:v>24</c:v>
                </c:pt>
                <c:pt idx="609">
                  <c:v>24</c:v>
                </c:pt>
                <c:pt idx="610">
                  <c:v>24</c:v>
                </c:pt>
                <c:pt idx="611">
                  <c:v>24</c:v>
                </c:pt>
                <c:pt idx="612">
                  <c:v>24</c:v>
                </c:pt>
                <c:pt idx="613">
                  <c:v>24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24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22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22</c:v>
                </c:pt>
                <c:pt idx="629">
                  <c:v>22</c:v>
                </c:pt>
                <c:pt idx="630">
                  <c:v>22</c:v>
                </c:pt>
                <c:pt idx="631">
                  <c:v>22</c:v>
                </c:pt>
                <c:pt idx="632">
                  <c:v>22</c:v>
                </c:pt>
                <c:pt idx="633">
                  <c:v>22</c:v>
                </c:pt>
                <c:pt idx="634">
                  <c:v>22</c:v>
                </c:pt>
                <c:pt idx="635">
                  <c:v>22</c:v>
                </c:pt>
                <c:pt idx="636">
                  <c:v>22</c:v>
                </c:pt>
                <c:pt idx="637">
                  <c:v>22</c:v>
                </c:pt>
                <c:pt idx="638">
                  <c:v>22</c:v>
                </c:pt>
                <c:pt idx="639">
                  <c:v>22</c:v>
                </c:pt>
                <c:pt idx="640">
                  <c:v>20</c:v>
                </c:pt>
                <c:pt idx="641">
                  <c:v>20</c:v>
                </c:pt>
                <c:pt idx="642">
                  <c:v>20</c:v>
                </c:pt>
                <c:pt idx="643">
                  <c:v>20</c:v>
                </c:pt>
                <c:pt idx="644">
                  <c:v>20</c:v>
                </c:pt>
                <c:pt idx="645">
                  <c:v>20</c:v>
                </c:pt>
                <c:pt idx="646">
                  <c:v>20</c:v>
                </c:pt>
                <c:pt idx="647">
                  <c:v>20</c:v>
                </c:pt>
                <c:pt idx="648">
                  <c:v>20</c:v>
                </c:pt>
                <c:pt idx="649">
                  <c:v>20</c:v>
                </c:pt>
                <c:pt idx="650">
                  <c:v>20</c:v>
                </c:pt>
                <c:pt idx="651">
                  <c:v>20</c:v>
                </c:pt>
                <c:pt idx="652">
                  <c:v>20</c:v>
                </c:pt>
                <c:pt idx="653">
                  <c:v>20</c:v>
                </c:pt>
                <c:pt idx="654">
                  <c:v>20</c:v>
                </c:pt>
                <c:pt idx="655">
                  <c:v>20</c:v>
                </c:pt>
                <c:pt idx="656">
                  <c:v>18</c:v>
                </c:pt>
                <c:pt idx="657">
                  <c:v>18</c:v>
                </c:pt>
                <c:pt idx="658">
                  <c:v>18</c:v>
                </c:pt>
                <c:pt idx="659">
                  <c:v>18</c:v>
                </c:pt>
                <c:pt idx="660">
                  <c:v>18</c:v>
                </c:pt>
                <c:pt idx="661">
                  <c:v>18</c:v>
                </c:pt>
                <c:pt idx="662">
                  <c:v>18</c:v>
                </c:pt>
                <c:pt idx="663">
                  <c:v>18</c:v>
                </c:pt>
                <c:pt idx="664">
                  <c:v>18</c:v>
                </c:pt>
                <c:pt idx="665">
                  <c:v>18</c:v>
                </c:pt>
                <c:pt idx="666">
                  <c:v>18</c:v>
                </c:pt>
                <c:pt idx="667">
                  <c:v>18</c:v>
                </c:pt>
                <c:pt idx="668">
                  <c:v>18</c:v>
                </c:pt>
                <c:pt idx="669">
                  <c:v>18</c:v>
                </c:pt>
                <c:pt idx="670">
                  <c:v>18</c:v>
                </c:pt>
                <c:pt idx="671">
                  <c:v>18</c:v>
                </c:pt>
                <c:pt idx="672">
                  <c:v>16</c:v>
                </c:pt>
                <c:pt idx="673">
                  <c:v>16</c:v>
                </c:pt>
                <c:pt idx="674">
                  <c:v>16</c:v>
                </c:pt>
                <c:pt idx="675">
                  <c:v>16</c:v>
                </c:pt>
                <c:pt idx="676">
                  <c:v>16</c:v>
                </c:pt>
                <c:pt idx="677">
                  <c:v>16</c:v>
                </c:pt>
                <c:pt idx="678">
                  <c:v>16</c:v>
                </c:pt>
                <c:pt idx="679">
                  <c:v>16</c:v>
                </c:pt>
                <c:pt idx="680">
                  <c:v>16</c:v>
                </c:pt>
                <c:pt idx="681">
                  <c:v>16</c:v>
                </c:pt>
                <c:pt idx="682">
                  <c:v>16</c:v>
                </c:pt>
                <c:pt idx="683">
                  <c:v>16</c:v>
                </c:pt>
                <c:pt idx="684">
                  <c:v>16</c:v>
                </c:pt>
                <c:pt idx="685">
                  <c:v>16</c:v>
                </c:pt>
                <c:pt idx="686">
                  <c:v>16</c:v>
                </c:pt>
                <c:pt idx="687">
                  <c:v>16</c:v>
                </c:pt>
                <c:pt idx="688">
                  <c:v>14</c:v>
                </c:pt>
                <c:pt idx="689">
                  <c:v>14</c:v>
                </c:pt>
                <c:pt idx="690">
                  <c:v>14</c:v>
                </c:pt>
                <c:pt idx="691">
                  <c:v>14</c:v>
                </c:pt>
                <c:pt idx="692">
                  <c:v>14</c:v>
                </c:pt>
                <c:pt idx="693">
                  <c:v>14</c:v>
                </c:pt>
                <c:pt idx="694">
                  <c:v>14</c:v>
                </c:pt>
                <c:pt idx="695">
                  <c:v>14</c:v>
                </c:pt>
                <c:pt idx="696">
                  <c:v>14</c:v>
                </c:pt>
                <c:pt idx="697">
                  <c:v>14</c:v>
                </c:pt>
                <c:pt idx="698">
                  <c:v>14</c:v>
                </c:pt>
                <c:pt idx="699">
                  <c:v>14</c:v>
                </c:pt>
                <c:pt idx="700">
                  <c:v>14</c:v>
                </c:pt>
                <c:pt idx="701">
                  <c:v>14</c:v>
                </c:pt>
                <c:pt idx="702">
                  <c:v>14</c:v>
                </c:pt>
                <c:pt idx="703">
                  <c:v>14</c:v>
                </c:pt>
                <c:pt idx="704">
                  <c:v>12</c:v>
                </c:pt>
                <c:pt idx="705">
                  <c:v>12</c:v>
                </c:pt>
                <c:pt idx="706">
                  <c:v>12</c:v>
                </c:pt>
                <c:pt idx="707">
                  <c:v>12</c:v>
                </c:pt>
                <c:pt idx="708">
                  <c:v>12</c:v>
                </c:pt>
                <c:pt idx="709">
                  <c:v>12</c:v>
                </c:pt>
                <c:pt idx="710">
                  <c:v>12</c:v>
                </c:pt>
                <c:pt idx="711">
                  <c:v>12</c:v>
                </c:pt>
                <c:pt idx="712">
                  <c:v>12</c:v>
                </c:pt>
                <c:pt idx="713">
                  <c:v>12</c:v>
                </c:pt>
                <c:pt idx="714">
                  <c:v>12</c:v>
                </c:pt>
                <c:pt idx="715">
                  <c:v>12</c:v>
                </c:pt>
                <c:pt idx="716">
                  <c:v>12</c:v>
                </c:pt>
                <c:pt idx="717">
                  <c:v>12</c:v>
                </c:pt>
                <c:pt idx="718">
                  <c:v>12</c:v>
                </c:pt>
                <c:pt idx="719">
                  <c:v>12</c:v>
                </c:pt>
                <c:pt idx="720">
                  <c:v>10</c:v>
                </c:pt>
                <c:pt idx="721">
                  <c:v>10</c:v>
                </c:pt>
                <c:pt idx="722">
                  <c:v>10</c:v>
                </c:pt>
                <c:pt idx="723">
                  <c:v>10</c:v>
                </c:pt>
                <c:pt idx="724">
                  <c:v>10</c:v>
                </c:pt>
                <c:pt idx="725">
                  <c:v>10</c:v>
                </c:pt>
                <c:pt idx="726">
                  <c:v>10</c:v>
                </c:pt>
                <c:pt idx="727">
                  <c:v>10</c:v>
                </c:pt>
                <c:pt idx="728">
                  <c:v>10</c:v>
                </c:pt>
                <c:pt idx="729">
                  <c:v>10</c:v>
                </c:pt>
                <c:pt idx="730">
                  <c:v>10</c:v>
                </c:pt>
                <c:pt idx="731">
                  <c:v>10</c:v>
                </c:pt>
                <c:pt idx="732">
                  <c:v>10</c:v>
                </c:pt>
                <c:pt idx="733">
                  <c:v>10</c:v>
                </c:pt>
                <c:pt idx="734">
                  <c:v>10</c:v>
                </c:pt>
                <c:pt idx="735">
                  <c:v>10</c:v>
                </c:pt>
                <c:pt idx="736">
                  <c:v>8</c:v>
                </c:pt>
                <c:pt idx="737">
                  <c:v>8</c:v>
                </c:pt>
                <c:pt idx="738">
                  <c:v>8</c:v>
                </c:pt>
                <c:pt idx="739">
                  <c:v>8</c:v>
                </c:pt>
                <c:pt idx="740">
                  <c:v>8</c:v>
                </c:pt>
                <c:pt idx="741">
                  <c:v>8</c:v>
                </c:pt>
                <c:pt idx="742">
                  <c:v>8</c:v>
                </c:pt>
                <c:pt idx="743">
                  <c:v>8</c:v>
                </c:pt>
                <c:pt idx="744">
                  <c:v>8</c:v>
                </c:pt>
                <c:pt idx="745">
                  <c:v>8</c:v>
                </c:pt>
                <c:pt idx="746">
                  <c:v>8</c:v>
                </c:pt>
                <c:pt idx="747">
                  <c:v>8</c:v>
                </c:pt>
                <c:pt idx="748">
                  <c:v>8</c:v>
                </c:pt>
                <c:pt idx="749">
                  <c:v>8</c:v>
                </c:pt>
                <c:pt idx="750">
                  <c:v>8</c:v>
                </c:pt>
                <c:pt idx="751">
                  <c:v>8</c:v>
                </c:pt>
                <c:pt idx="752">
                  <c:v>6</c:v>
                </c:pt>
                <c:pt idx="753">
                  <c:v>6</c:v>
                </c:pt>
                <c:pt idx="754">
                  <c:v>6</c:v>
                </c:pt>
                <c:pt idx="755">
                  <c:v>6</c:v>
                </c:pt>
                <c:pt idx="756">
                  <c:v>6</c:v>
                </c:pt>
                <c:pt idx="757">
                  <c:v>6</c:v>
                </c:pt>
                <c:pt idx="758">
                  <c:v>6</c:v>
                </c:pt>
                <c:pt idx="759">
                  <c:v>6</c:v>
                </c:pt>
                <c:pt idx="760">
                  <c:v>6</c:v>
                </c:pt>
                <c:pt idx="761">
                  <c:v>6</c:v>
                </c:pt>
                <c:pt idx="762">
                  <c:v>6</c:v>
                </c:pt>
                <c:pt idx="763">
                  <c:v>6</c:v>
                </c:pt>
                <c:pt idx="764">
                  <c:v>6</c:v>
                </c:pt>
                <c:pt idx="765">
                  <c:v>6</c:v>
                </c:pt>
                <c:pt idx="766">
                  <c:v>6</c:v>
                </c:pt>
                <c:pt idx="767">
                  <c:v>6</c:v>
                </c:pt>
                <c:pt idx="768">
                  <c:v>4</c:v>
                </c:pt>
                <c:pt idx="769">
                  <c:v>4</c:v>
                </c:pt>
                <c:pt idx="770">
                  <c:v>4</c:v>
                </c:pt>
                <c:pt idx="771">
                  <c:v>4</c:v>
                </c:pt>
                <c:pt idx="772">
                  <c:v>4</c:v>
                </c:pt>
                <c:pt idx="773">
                  <c:v>4</c:v>
                </c:pt>
                <c:pt idx="774">
                  <c:v>4</c:v>
                </c:pt>
                <c:pt idx="775">
                  <c:v>4</c:v>
                </c:pt>
                <c:pt idx="776">
                  <c:v>4</c:v>
                </c:pt>
                <c:pt idx="777">
                  <c:v>4</c:v>
                </c:pt>
                <c:pt idx="778">
                  <c:v>4</c:v>
                </c:pt>
                <c:pt idx="779">
                  <c:v>4</c:v>
                </c:pt>
                <c:pt idx="780">
                  <c:v>4</c:v>
                </c:pt>
                <c:pt idx="781">
                  <c:v>4</c:v>
                </c:pt>
                <c:pt idx="782">
                  <c:v>4</c:v>
                </c:pt>
                <c:pt idx="783">
                  <c:v>4</c:v>
                </c:pt>
                <c:pt idx="784">
                  <c:v>2</c:v>
                </c:pt>
                <c:pt idx="785">
                  <c:v>2</c:v>
                </c:pt>
                <c:pt idx="786">
                  <c:v>2</c:v>
                </c:pt>
                <c:pt idx="787">
                  <c:v>2</c:v>
                </c:pt>
                <c:pt idx="788">
                  <c:v>2</c:v>
                </c:pt>
                <c:pt idx="789">
                  <c:v>2</c:v>
                </c:pt>
                <c:pt idx="790">
                  <c:v>2</c:v>
                </c:pt>
                <c:pt idx="791">
                  <c:v>2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2</c:v>
                </c:pt>
                <c:pt idx="799">
                  <c:v>2</c:v>
                </c:pt>
                <c:pt idx="8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3C-6D41-936D-3BF3E236A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36640"/>
        <c:axId val="83291216"/>
      </c:lineChart>
      <c:catAx>
        <c:axId val="95236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S"/>
          </a:p>
        </c:txPr>
        <c:crossAx val="83291216"/>
        <c:crosses val="autoZero"/>
        <c:auto val="1"/>
        <c:lblAlgn val="ctr"/>
        <c:lblOffset val="100"/>
        <c:noMultiLvlLbl val="0"/>
      </c:catAx>
      <c:valAx>
        <c:axId val="8329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S"/>
          </a:p>
        </c:txPr>
        <c:crossAx val="9523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806450</xdr:colOff>
      <xdr:row>5</xdr:row>
      <xdr:rowOff>114300</xdr:rowOff>
    </xdr:from>
    <xdr:to>
      <xdr:col>11</xdr:col>
      <xdr:colOff>76200</xdr:colOff>
      <xdr:row>29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6450A6-0585-AE40-8702-0FFBBB49C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aming.stackexchange.com/questions/178726/what-is-the-terminal-velocity-of-a-sheep" TargetMode="External"/><Relationship Id="rId2" Type="http://schemas.openxmlformats.org/officeDocument/2006/relationships/hyperlink" Target="https://www.reddit.com/r/Minecraft/comments/3nlduc/falling_damage_is_weirdly_nonlinear/" TargetMode="External"/><Relationship Id="rId1" Type="http://schemas.openxmlformats.org/officeDocument/2006/relationships/hyperlink" Target="https://imgur.com/a/4pFWr" TargetMode="External"/><Relationship Id="rId5" Type="http://schemas.openxmlformats.org/officeDocument/2006/relationships/hyperlink" Target="https://www.reddit.com/r/Minecraft/comments/1kutcc/minecraft_science_how_many_hearts_torches_and/" TargetMode="External"/><Relationship Id="rId4" Type="http://schemas.openxmlformats.org/officeDocument/2006/relationships/hyperlink" Target="https://minecraft.gamepedia.com/Tutorials/Mob_grinder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8F71-E119-0045-AF91-9D8A8A6B0B61}">
  <dimension ref="A1:I24"/>
  <sheetViews>
    <sheetView tabSelected="1" zoomScale="125" zoomScaleNormal="125" workbookViewId="0">
      <selection activeCell="A2" sqref="A2"/>
    </sheetView>
  </sheetViews>
  <sheetFormatPr baseColWidth="10" defaultRowHeight="16" x14ac:dyDescent="0.2"/>
  <cols>
    <col min="1" max="1" width="20.6640625" customWidth="1"/>
    <col min="2" max="2" width="8.33203125" customWidth="1"/>
    <col min="3" max="3" width="8.1640625" customWidth="1"/>
    <col min="4" max="4" width="8.33203125" customWidth="1"/>
    <col min="5" max="5" width="8.5" customWidth="1"/>
  </cols>
  <sheetData>
    <row r="1" spans="1:9" x14ac:dyDescent="0.2">
      <c r="A1" s="1" t="s">
        <v>2</v>
      </c>
      <c r="B1" s="17" t="s">
        <v>102</v>
      </c>
      <c r="C1" s="1" t="s">
        <v>3</v>
      </c>
      <c r="D1" s="1" t="s">
        <v>86</v>
      </c>
      <c r="E1" s="17" t="s">
        <v>101</v>
      </c>
    </row>
    <row r="2" spans="1:9" x14ac:dyDescent="0.2">
      <c r="A2" s="2" t="s">
        <v>28</v>
      </c>
      <c r="B2" s="17">
        <f>MATCH(A2,Mobs!A2:A200,0)</f>
        <v>15</v>
      </c>
      <c r="C2" s="7" cm="1">
        <f t="array" ref="C2">INDEX(Mobs!C2:C200,B2)</f>
        <v>20</v>
      </c>
      <c r="E2" s="17" cm="1">
        <f t="array" ref="E2">INDEX(Mobs!E2:E200,UI!B2)</f>
        <v>1</v>
      </c>
      <c r="H2" s="1"/>
      <c r="I2" s="1"/>
    </row>
    <row r="4" spans="1:9" x14ac:dyDescent="0.2">
      <c r="A4" t="s">
        <v>105</v>
      </c>
    </row>
    <row r="5" spans="1:9" x14ac:dyDescent="0.2">
      <c r="A5" s="1" t="s">
        <v>103</v>
      </c>
      <c r="B5" s="17">
        <f ca="1">IF(E2=0,2,_xlfn.IFNA(MATCH(health,OFFSET(Falling!G2:G200,0,E2),0),MATCH(health,OFFSET(Falling!G2:G200,0,E2),1)+1))</f>
        <v>27</v>
      </c>
      <c r="C5" s="10">
        <f ca="1">MIN(health,INDEX(Falling!G2:J200,B5,E2+1))</f>
        <v>20</v>
      </c>
      <c r="D5" s="20" cm="1">
        <f t="array" aca="1" ref="D5" ca="1">IF(E2=0,"∞",INDEX(Falling!F2:F200,B5))</f>
        <v>23.5</v>
      </c>
      <c r="E5" s="24" t="s">
        <v>106</v>
      </c>
    </row>
    <row r="7" spans="1:9" x14ac:dyDescent="0.2">
      <c r="A7" t="s">
        <v>104</v>
      </c>
      <c r="E7" s="17"/>
    </row>
    <row r="8" spans="1:9" x14ac:dyDescent="0.2">
      <c r="A8" s="1" t="s">
        <v>100</v>
      </c>
      <c r="B8" s="17"/>
      <c r="C8" s="10" cm="1">
        <f t="array" aca="1" ref="C8" ca="1">IF(E2=0,0,INDEX(Falling!G2:J200,B5-1,E2+1))</f>
        <v>19</v>
      </c>
      <c r="D8" s="20">
        <f ca="1">IF(E2=0,"∞",MAX(0,D5-0.5))</f>
        <v>23</v>
      </c>
      <c r="E8" s="24" t="s">
        <v>106</v>
      </c>
      <c r="I8" s="18"/>
    </row>
    <row r="10" spans="1:9" x14ac:dyDescent="0.2">
      <c r="A10" t="s">
        <v>90</v>
      </c>
    </row>
    <row r="11" spans="1:9" x14ac:dyDescent="0.2">
      <c r="C11" s="10">
        <f ca="1">health-C8</f>
        <v>1</v>
      </c>
    </row>
    <row r="12" spans="1:9" x14ac:dyDescent="0.2">
      <c r="A12" t="str">
        <f>"Damage taken from a "&amp;D13&amp;" block fall"</f>
        <v>Damage taken from a 5 block fall</v>
      </c>
    </row>
    <row r="13" spans="1:9" x14ac:dyDescent="0.2">
      <c r="B13" s="23">
        <f>_xlfn.IFNA(MATCH(D13,Falling!D2:D200,0),MATCH(D13,Falling!D2:D200,1))</f>
        <v>12</v>
      </c>
      <c r="C13" s="10">
        <f>MIN(health,INDEX(Falling!G2:J200,B13,E2+1))</f>
        <v>2</v>
      </c>
      <c r="D13" s="21">
        <v>5</v>
      </c>
    </row>
    <row r="14" spans="1:9" x14ac:dyDescent="0.2">
      <c r="D14" s="23"/>
    </row>
    <row r="15" spans="1:9" x14ac:dyDescent="0.2">
      <c r="A15" t="s">
        <v>116</v>
      </c>
      <c r="C15" cm="1">
        <f t="array" ref="C15">INDEX(Mobs!F2:F200,B2)</f>
        <v>0</v>
      </c>
    </row>
    <row r="17" spans="1:3" x14ac:dyDescent="0.2">
      <c r="A17" t="s">
        <v>152</v>
      </c>
      <c r="B17" s="32" t="str" cm="1">
        <f t="array" ref="B17">_xlfn.IFS(health=0,"no hearts",health=1,"half a heart",health=2,"1 heart",MOD(health,2),TRUNC(health/2)&amp;" and a half hearts",TRUE,TRUNC(health/2)&amp;" hearts")</f>
        <v>10 hearts</v>
      </c>
      <c r="C17" s="32"/>
    </row>
    <row r="19" spans="1:3" x14ac:dyDescent="0.2">
      <c r="A19" s="4" t="s">
        <v>79</v>
      </c>
    </row>
    <row r="20" spans="1:3" x14ac:dyDescent="0.2">
      <c r="A20" s="4" t="s">
        <v>81</v>
      </c>
    </row>
    <row r="21" spans="1:3" x14ac:dyDescent="0.2">
      <c r="A21" s="4" t="s">
        <v>83</v>
      </c>
    </row>
    <row r="22" spans="1:3" x14ac:dyDescent="0.2">
      <c r="A22" s="4" t="s">
        <v>82</v>
      </c>
    </row>
    <row r="23" spans="1:3" x14ac:dyDescent="0.2">
      <c r="A23" s="4" t="s">
        <v>80</v>
      </c>
    </row>
    <row r="24" spans="1:3" x14ac:dyDescent="0.2">
      <c r="A24" s="4"/>
    </row>
  </sheetData>
  <mergeCells count="1">
    <mergeCell ref="B17:C17"/>
  </mergeCells>
  <hyperlinks>
    <hyperlink ref="A19" r:id="rId1" xr:uid="{2B30C5CA-B365-6C45-871A-AA51CE8CF863}"/>
    <hyperlink ref="A20" r:id="rId2" xr:uid="{33265912-A98C-5144-A08D-8629EB9C0278}"/>
    <hyperlink ref="A22" r:id="rId3" xr:uid="{BFDCB020-4FB9-374D-A638-E98C7C9DC262}"/>
    <hyperlink ref="A21" r:id="rId4" location="Fall_Damage" xr:uid="{8A9DF71E-4F49-4A4D-87AD-56C0C819ED56}"/>
    <hyperlink ref="A23" r:id="rId5" xr:uid="{1D2DDA71-6487-9247-B2B6-0471C0A21C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F074-A9BC-5340-B594-0812F205C9F0}">
  <dimension ref="A1:F90"/>
  <sheetViews>
    <sheetView workbookViewId="0">
      <pane ySplit="1" topLeftCell="A2" activePane="bottomLeft" state="frozen"/>
      <selection pane="bottomLeft" activeCell="A90" sqref="A90"/>
    </sheetView>
  </sheetViews>
  <sheetFormatPr baseColWidth="10" defaultRowHeight="16" x14ac:dyDescent="0.2"/>
  <cols>
    <col min="1" max="1" width="20" customWidth="1"/>
    <col min="2" max="3" width="11.6640625" customWidth="1"/>
    <col min="4" max="4" width="9.33203125" bestFit="1" customWidth="1"/>
    <col min="5" max="5" width="11.6640625" bestFit="1" customWidth="1"/>
    <col min="6" max="6" width="59.83203125" bestFit="1" customWidth="1"/>
  </cols>
  <sheetData>
    <row r="1" spans="1:6" x14ac:dyDescent="0.2">
      <c r="A1" s="16" t="s">
        <v>2</v>
      </c>
      <c r="B1" s="16" t="s">
        <v>55</v>
      </c>
      <c r="C1" s="16" t="s">
        <v>56</v>
      </c>
      <c r="D1" s="16" t="s">
        <v>4</v>
      </c>
      <c r="E1" s="16" t="s">
        <v>107</v>
      </c>
      <c r="F1" s="16" t="s">
        <v>116</v>
      </c>
    </row>
    <row r="2" spans="1:6" x14ac:dyDescent="0.2">
      <c r="A2" s="7" t="s">
        <v>141</v>
      </c>
      <c r="B2" s="7">
        <v>20</v>
      </c>
      <c r="C2" s="7">
        <v>20</v>
      </c>
      <c r="D2" s="7" t="s">
        <v>6</v>
      </c>
      <c r="E2" s="7">
        <v>0</v>
      </c>
      <c r="F2" s="19" t="s">
        <v>114</v>
      </c>
    </row>
    <row r="3" spans="1:6" x14ac:dyDescent="0.2">
      <c r="A3" s="7" t="s">
        <v>140</v>
      </c>
      <c r="B3" s="7">
        <v>12</v>
      </c>
      <c r="C3" s="7">
        <v>12</v>
      </c>
      <c r="D3" s="7" t="s">
        <v>6</v>
      </c>
      <c r="E3" s="7">
        <v>1</v>
      </c>
      <c r="F3" t="s">
        <v>151</v>
      </c>
    </row>
    <row r="4" spans="1:6" x14ac:dyDescent="0.2">
      <c r="A4" s="13" t="s">
        <v>130</v>
      </c>
      <c r="B4" s="13">
        <v>14</v>
      </c>
      <c r="C4" s="13">
        <v>14</v>
      </c>
      <c r="D4" s="13" t="s">
        <v>6</v>
      </c>
      <c r="E4" s="13">
        <v>1</v>
      </c>
      <c r="F4" t="str">
        <f>"An "&amp;LOWER(A4)&amp;" will take suffocation damage as well as fall damage."</f>
        <v>An axolotl will take suffocation damage as well as fall damage.</v>
      </c>
    </row>
    <row r="5" spans="1:6" x14ac:dyDescent="0.2">
      <c r="A5" s="13" t="s">
        <v>5</v>
      </c>
      <c r="B5" s="13">
        <v>6</v>
      </c>
      <c r="C5" s="13">
        <v>6</v>
      </c>
      <c r="D5" s="13" t="s">
        <v>6</v>
      </c>
      <c r="E5" s="13">
        <v>0</v>
      </c>
      <c r="F5" s="19" t="s">
        <v>114</v>
      </c>
    </row>
    <row r="6" spans="1:6" x14ac:dyDescent="0.2">
      <c r="A6" s="11" t="s">
        <v>145</v>
      </c>
      <c r="B6" s="11">
        <v>10</v>
      </c>
      <c r="C6" s="11">
        <v>10</v>
      </c>
      <c r="D6" s="11" t="s">
        <v>20</v>
      </c>
      <c r="E6" s="11">
        <v>0</v>
      </c>
      <c r="F6" s="19" t="s">
        <v>114</v>
      </c>
    </row>
    <row r="7" spans="1:6" x14ac:dyDescent="0.2">
      <c r="A7" s="9" t="s">
        <v>27</v>
      </c>
      <c r="B7" s="9">
        <v>20</v>
      </c>
      <c r="C7" s="9">
        <v>20</v>
      </c>
      <c r="D7" s="9" t="s">
        <v>26</v>
      </c>
      <c r="E7" s="9">
        <v>0</v>
      </c>
      <c r="F7" s="19" t="s">
        <v>114</v>
      </c>
    </row>
    <row r="8" spans="1:6" x14ac:dyDescent="0.2">
      <c r="A8" s="9" t="s">
        <v>147</v>
      </c>
      <c r="B8" s="9">
        <v>16</v>
      </c>
      <c r="C8" s="9">
        <v>16</v>
      </c>
      <c r="D8" s="9" t="s">
        <v>26</v>
      </c>
      <c r="E8" s="9">
        <v>1</v>
      </c>
    </row>
    <row r="9" spans="1:6" x14ac:dyDescent="0.2">
      <c r="A9" s="7" t="s">
        <v>142</v>
      </c>
      <c r="B9" s="7">
        <v>32</v>
      </c>
      <c r="C9" s="7">
        <v>32</v>
      </c>
      <c r="D9" s="7" t="s">
        <v>6</v>
      </c>
      <c r="E9" s="7">
        <v>2</v>
      </c>
    </row>
    <row r="10" spans="1:6" x14ac:dyDescent="0.2">
      <c r="A10" s="7" t="s">
        <v>67</v>
      </c>
      <c r="B10" s="7">
        <v>10</v>
      </c>
      <c r="C10" s="7">
        <v>10</v>
      </c>
      <c r="D10" s="7" t="s">
        <v>53</v>
      </c>
      <c r="E10" s="7">
        <v>0</v>
      </c>
      <c r="F10" s="19" t="s">
        <v>113</v>
      </c>
    </row>
    <row r="11" spans="1:6" x14ac:dyDescent="0.2">
      <c r="A11" s="11" t="s">
        <v>32</v>
      </c>
      <c r="B11" s="11">
        <v>12</v>
      </c>
      <c r="C11" s="11">
        <v>12</v>
      </c>
      <c r="D11" s="11" t="s">
        <v>20</v>
      </c>
      <c r="E11" s="11">
        <v>1</v>
      </c>
    </row>
    <row r="12" spans="1:6" x14ac:dyDescent="0.2">
      <c r="A12" s="13" t="s">
        <v>7</v>
      </c>
      <c r="B12" s="13">
        <v>4</v>
      </c>
      <c r="C12" s="13">
        <v>4</v>
      </c>
      <c r="D12" s="13" t="s">
        <v>6</v>
      </c>
      <c r="E12" s="13">
        <v>0</v>
      </c>
      <c r="F12" s="19" t="s">
        <v>114</v>
      </c>
    </row>
    <row r="13" spans="1:6" x14ac:dyDescent="0.2">
      <c r="A13" s="13" t="s">
        <v>8</v>
      </c>
      <c r="B13" s="13">
        <v>3</v>
      </c>
      <c r="C13" s="13">
        <v>3</v>
      </c>
      <c r="D13" s="13" t="s">
        <v>6</v>
      </c>
      <c r="E13" s="13">
        <v>1</v>
      </c>
      <c r="F13" s="19" t="str">
        <f>"A " &amp; LOWER(A13) &amp; " will take suffocation damage as well as fall damage."</f>
        <v>A cod will take suffocation damage as well as fall damage.</v>
      </c>
    </row>
    <row r="14" spans="1:6" x14ac:dyDescent="0.2">
      <c r="A14" s="13" t="s">
        <v>9</v>
      </c>
      <c r="B14" s="13">
        <v>10</v>
      </c>
      <c r="C14" s="13">
        <v>10</v>
      </c>
      <c r="D14" s="13" t="s">
        <v>6</v>
      </c>
      <c r="E14" s="13">
        <v>1</v>
      </c>
    </row>
    <row r="15" spans="1:6" x14ac:dyDescent="0.2">
      <c r="A15" s="9" t="s">
        <v>146</v>
      </c>
      <c r="B15" s="9">
        <v>1</v>
      </c>
      <c r="C15" s="9">
        <v>1</v>
      </c>
      <c r="D15" s="9" t="s">
        <v>26</v>
      </c>
      <c r="E15" s="9">
        <v>0</v>
      </c>
      <c r="F15" t="s">
        <v>150</v>
      </c>
    </row>
    <row r="16" spans="1:6" x14ac:dyDescent="0.2">
      <c r="A16" s="9" t="s">
        <v>28</v>
      </c>
      <c r="B16" s="9">
        <v>20</v>
      </c>
      <c r="C16" s="9">
        <v>20</v>
      </c>
      <c r="D16" s="9" t="s">
        <v>26</v>
      </c>
      <c r="E16" s="9">
        <v>1</v>
      </c>
    </row>
    <row r="17" spans="1:6" x14ac:dyDescent="0.2">
      <c r="A17" s="7" t="s">
        <v>89</v>
      </c>
      <c r="B17" s="7">
        <v>20</v>
      </c>
      <c r="C17" s="7">
        <v>20</v>
      </c>
      <c r="D17" s="7" t="s">
        <v>53</v>
      </c>
      <c r="E17" s="7">
        <v>1</v>
      </c>
    </row>
    <row r="18" spans="1:6" x14ac:dyDescent="0.2">
      <c r="A18" s="11" t="s">
        <v>21</v>
      </c>
      <c r="B18" s="11">
        <v>10</v>
      </c>
      <c r="C18" s="11">
        <v>10</v>
      </c>
      <c r="D18" s="11" t="s">
        <v>20</v>
      </c>
      <c r="E18" s="11">
        <v>1</v>
      </c>
      <c r="F18" s="19" t="str">
        <f>"A " &amp; LOWER(A18) &amp; " will take suffocation damage as well as fall damage."</f>
        <v>A dolphin will take suffocation damage as well as fall damage.</v>
      </c>
    </row>
    <row r="19" spans="1:6" x14ac:dyDescent="0.2">
      <c r="A19" s="7" t="s">
        <v>54</v>
      </c>
      <c r="B19" s="7">
        <v>15</v>
      </c>
      <c r="C19" s="7">
        <v>30</v>
      </c>
      <c r="D19" s="7" t="s">
        <v>53</v>
      </c>
      <c r="E19" s="7">
        <v>2</v>
      </c>
      <c r="F19" t="str">
        <f>"A " &amp; LOWER(A19) &amp;" has random health (" &amp; B19 &amp; "-" &amp; C19 &amp; ")."</f>
        <v>A donkey has random health (15-30).</v>
      </c>
    </row>
    <row r="20" spans="1:6" x14ac:dyDescent="0.2">
      <c r="A20" s="9" t="s">
        <v>29</v>
      </c>
      <c r="B20" s="9">
        <v>20</v>
      </c>
      <c r="C20" s="9">
        <v>20</v>
      </c>
      <c r="D20" s="9" t="s">
        <v>26</v>
      </c>
      <c r="E20" s="9">
        <v>1</v>
      </c>
    </row>
    <row r="21" spans="1:6" x14ac:dyDescent="0.2">
      <c r="A21" s="9" t="s">
        <v>30</v>
      </c>
      <c r="B21" s="9">
        <v>80</v>
      </c>
      <c r="C21" s="9">
        <v>80</v>
      </c>
      <c r="D21" s="9" t="s">
        <v>26</v>
      </c>
      <c r="E21" s="9">
        <v>1</v>
      </c>
      <c r="F21" t="s">
        <v>111</v>
      </c>
    </row>
    <row r="22" spans="1:6" x14ac:dyDescent="0.2">
      <c r="A22" s="12" t="s">
        <v>78</v>
      </c>
      <c r="B22" s="12">
        <v>200</v>
      </c>
      <c r="C22" s="12">
        <v>200</v>
      </c>
      <c r="D22" s="12" t="s">
        <v>65</v>
      </c>
      <c r="E22" s="12">
        <v>0</v>
      </c>
      <c r="F22" s="19" t="s">
        <v>114</v>
      </c>
    </row>
    <row r="23" spans="1:6" x14ac:dyDescent="0.2">
      <c r="A23" s="11" t="s">
        <v>22</v>
      </c>
      <c r="B23" s="11">
        <v>40</v>
      </c>
      <c r="C23" s="11">
        <v>40</v>
      </c>
      <c r="D23" s="11" t="s">
        <v>20</v>
      </c>
      <c r="E23" s="11">
        <v>1</v>
      </c>
    </row>
    <row r="24" spans="1:6" x14ac:dyDescent="0.2">
      <c r="A24" s="9" t="s">
        <v>33</v>
      </c>
      <c r="B24" s="9">
        <v>8</v>
      </c>
      <c r="C24" s="9">
        <v>8</v>
      </c>
      <c r="D24" s="9" t="s">
        <v>26</v>
      </c>
      <c r="E24" s="9">
        <v>1</v>
      </c>
    </row>
    <row r="25" spans="1:6" x14ac:dyDescent="0.2">
      <c r="A25" s="9" t="s">
        <v>34</v>
      </c>
      <c r="B25" s="9">
        <v>24</v>
      </c>
      <c r="C25" s="9">
        <v>24</v>
      </c>
      <c r="D25" s="9" t="s">
        <v>26</v>
      </c>
      <c r="E25" s="9">
        <v>1</v>
      </c>
    </row>
    <row r="26" spans="1:6" x14ac:dyDescent="0.2">
      <c r="A26" s="13" t="s">
        <v>68</v>
      </c>
      <c r="B26" s="13">
        <v>20</v>
      </c>
      <c r="C26" s="13">
        <v>20</v>
      </c>
      <c r="D26" s="13" t="s">
        <v>6</v>
      </c>
      <c r="E26" s="13">
        <v>3</v>
      </c>
    </row>
    <row r="27" spans="1:6" x14ac:dyDescent="0.2">
      <c r="A27" s="7" t="s">
        <v>143</v>
      </c>
      <c r="B27" s="7">
        <v>10</v>
      </c>
      <c r="C27" s="7">
        <v>10</v>
      </c>
      <c r="D27" s="7" t="s">
        <v>6</v>
      </c>
      <c r="E27" s="7">
        <v>3</v>
      </c>
    </row>
    <row r="28" spans="1:6" x14ac:dyDescent="0.2">
      <c r="A28" s="9" t="s">
        <v>35</v>
      </c>
      <c r="B28" s="9">
        <v>10</v>
      </c>
      <c r="C28" s="9">
        <v>10</v>
      </c>
      <c r="D28" s="9" t="s">
        <v>26</v>
      </c>
      <c r="E28" s="9">
        <v>0</v>
      </c>
      <c r="F28" s="19" t="s">
        <v>114</v>
      </c>
    </row>
    <row r="29" spans="1:6" x14ac:dyDescent="0.2">
      <c r="A29" s="9" t="s">
        <v>74</v>
      </c>
      <c r="B29" s="9">
        <v>100</v>
      </c>
      <c r="C29" s="9">
        <v>100</v>
      </c>
      <c r="D29" s="9" t="s">
        <v>26</v>
      </c>
      <c r="E29" s="9">
        <v>1</v>
      </c>
    </row>
    <row r="30" spans="1:6" x14ac:dyDescent="0.2">
      <c r="A30" s="13" t="s">
        <v>134</v>
      </c>
      <c r="B30" s="13">
        <v>10</v>
      </c>
      <c r="C30" s="13">
        <v>10</v>
      </c>
      <c r="D30" s="13" t="s">
        <v>6</v>
      </c>
      <c r="E30" s="13">
        <v>1</v>
      </c>
      <c r="F30" s="19" t="str">
        <f>"A " &amp; LOWER(A30) &amp; " will take suffocation damage as well as fall damage."</f>
        <v>A glow squid will take suffocation damage as well as fall damage.</v>
      </c>
    </row>
    <row r="31" spans="1:6" x14ac:dyDescent="0.2">
      <c r="A31" s="11" t="s">
        <v>131</v>
      </c>
      <c r="B31" s="11">
        <v>10</v>
      </c>
      <c r="C31" s="11">
        <v>10</v>
      </c>
      <c r="D31" s="11" t="s">
        <v>20</v>
      </c>
      <c r="E31" s="11">
        <v>3</v>
      </c>
      <c r="F31" t="s">
        <v>133</v>
      </c>
    </row>
    <row r="32" spans="1:6" x14ac:dyDescent="0.2">
      <c r="A32" s="9" t="s">
        <v>36</v>
      </c>
      <c r="B32" s="9">
        <v>30</v>
      </c>
      <c r="C32" s="9">
        <v>30</v>
      </c>
      <c r="D32" s="9" t="s">
        <v>26</v>
      </c>
      <c r="E32" s="9">
        <v>1</v>
      </c>
      <c r="F32" t="s">
        <v>111</v>
      </c>
    </row>
    <row r="33" spans="1:6" x14ac:dyDescent="0.2">
      <c r="A33" s="9" t="s">
        <v>127</v>
      </c>
      <c r="B33" s="9">
        <v>40</v>
      </c>
      <c r="C33" s="9">
        <v>40</v>
      </c>
      <c r="D33" s="9" t="s">
        <v>26</v>
      </c>
      <c r="E33" s="9">
        <v>1</v>
      </c>
    </row>
    <row r="34" spans="1:6" x14ac:dyDescent="0.2">
      <c r="A34" s="7" t="s">
        <v>57</v>
      </c>
      <c r="B34" s="7">
        <v>15</v>
      </c>
      <c r="C34" s="7">
        <v>30</v>
      </c>
      <c r="D34" s="7" t="s">
        <v>53</v>
      </c>
      <c r="E34" s="7">
        <v>2</v>
      </c>
      <c r="F34" t="str">
        <f>"A " &amp; LOWER(A34) &amp;" has random health (" &amp; B34 &amp; "-" &amp; C34 &amp; ")."</f>
        <v>A horse has random health (15-30).</v>
      </c>
    </row>
    <row r="35" spans="1:6" x14ac:dyDescent="0.2">
      <c r="A35" s="9" t="s">
        <v>37</v>
      </c>
      <c r="B35" s="9">
        <v>20</v>
      </c>
      <c r="C35" s="9">
        <v>20</v>
      </c>
      <c r="D35" s="9" t="s">
        <v>26</v>
      </c>
      <c r="E35" s="9">
        <v>1</v>
      </c>
    </row>
    <row r="36" spans="1:6" x14ac:dyDescent="0.2">
      <c r="A36" s="9" t="s">
        <v>75</v>
      </c>
      <c r="B36" s="9">
        <v>32</v>
      </c>
      <c r="C36" s="9">
        <v>32</v>
      </c>
      <c r="D36" s="9" t="s">
        <v>26</v>
      </c>
      <c r="E36" s="9">
        <v>1</v>
      </c>
    </row>
    <row r="37" spans="1:6" x14ac:dyDescent="0.2">
      <c r="A37" s="14" t="s">
        <v>63</v>
      </c>
      <c r="B37" s="14">
        <v>100</v>
      </c>
      <c r="C37" s="14">
        <v>100</v>
      </c>
      <c r="D37" s="14" t="s">
        <v>62</v>
      </c>
      <c r="E37" s="14">
        <v>0</v>
      </c>
      <c r="F37" s="19" t="s">
        <v>113</v>
      </c>
    </row>
    <row r="38" spans="1:6" x14ac:dyDescent="0.2">
      <c r="A38" s="7" t="s">
        <v>58</v>
      </c>
      <c r="B38" s="7">
        <v>15</v>
      </c>
      <c r="C38" s="7">
        <v>30</v>
      </c>
      <c r="D38" s="7" t="s">
        <v>53</v>
      </c>
      <c r="E38" s="7">
        <v>2</v>
      </c>
      <c r="F38" t="str">
        <f>"A " &amp; LOWER(A38) &amp;" has random health (" &amp; B38 &amp; "-" &amp; C38 &amp; ")."</f>
        <v>A llama has random health (15-30).</v>
      </c>
    </row>
    <row r="39" spans="1:6" x14ac:dyDescent="0.2">
      <c r="A39" s="9" t="s">
        <v>38</v>
      </c>
      <c r="B39" s="9">
        <v>16</v>
      </c>
      <c r="C39" s="9">
        <v>16</v>
      </c>
      <c r="D39" s="9" t="s">
        <v>26</v>
      </c>
      <c r="E39" s="9">
        <v>0</v>
      </c>
      <c r="F39" s="19" t="s">
        <v>113</v>
      </c>
    </row>
    <row r="40" spans="1:6" x14ac:dyDescent="0.2">
      <c r="A40" s="9" t="s">
        <v>118</v>
      </c>
      <c r="B40" s="9">
        <v>4</v>
      </c>
      <c r="C40" s="9">
        <v>4</v>
      </c>
      <c r="D40" s="9" t="s">
        <v>26</v>
      </c>
      <c r="E40" s="9">
        <v>0</v>
      </c>
      <c r="F40" s="19" t="s">
        <v>113</v>
      </c>
    </row>
    <row r="41" spans="1:6" x14ac:dyDescent="0.2">
      <c r="A41" s="9" t="s">
        <v>39</v>
      </c>
      <c r="B41" s="9">
        <v>1</v>
      </c>
      <c r="C41" s="9">
        <v>1</v>
      </c>
      <c r="D41" s="9" t="s">
        <v>26</v>
      </c>
      <c r="E41" s="9">
        <v>0</v>
      </c>
      <c r="F41" s="19" t="s">
        <v>113</v>
      </c>
    </row>
    <row r="42" spans="1:6" x14ac:dyDescent="0.2">
      <c r="A42" s="13" t="s">
        <v>10</v>
      </c>
      <c r="B42" s="13">
        <v>10</v>
      </c>
      <c r="C42" s="13">
        <v>10</v>
      </c>
      <c r="D42" s="13" t="s">
        <v>6</v>
      </c>
      <c r="E42" s="13">
        <v>1</v>
      </c>
    </row>
    <row r="43" spans="1:6" x14ac:dyDescent="0.2">
      <c r="A43" s="7" t="s">
        <v>59</v>
      </c>
      <c r="B43" s="7">
        <v>15</v>
      </c>
      <c r="C43" s="7">
        <v>30</v>
      </c>
      <c r="D43" s="7" t="s">
        <v>53</v>
      </c>
      <c r="E43" s="7">
        <v>2</v>
      </c>
      <c r="F43" t="str">
        <f>"A " &amp; LOWER(A43) &amp;" has random health (" &amp; B43 &amp; "-" &amp; C43 &amp; ")."</f>
        <v>A mule has random health (15-30).</v>
      </c>
    </row>
    <row r="44" spans="1:6" x14ac:dyDescent="0.2">
      <c r="A44" s="13" t="s">
        <v>11</v>
      </c>
      <c r="B44" s="13">
        <v>10</v>
      </c>
      <c r="C44" s="13">
        <v>10</v>
      </c>
      <c r="D44" s="13" t="s">
        <v>6</v>
      </c>
      <c r="E44" s="13">
        <v>0</v>
      </c>
      <c r="F44" s="19" t="s">
        <v>113</v>
      </c>
    </row>
    <row r="45" spans="1:6" x14ac:dyDescent="0.2">
      <c r="A45" s="13" t="s">
        <v>69</v>
      </c>
      <c r="B45" s="13">
        <v>10</v>
      </c>
      <c r="C45" s="13">
        <v>20</v>
      </c>
      <c r="D45" s="13" t="s">
        <v>6</v>
      </c>
      <c r="E45" s="13">
        <v>1</v>
      </c>
    </row>
    <row r="46" spans="1:6" x14ac:dyDescent="0.2">
      <c r="A46" s="7" t="s">
        <v>60</v>
      </c>
      <c r="B46" s="7">
        <v>6</v>
      </c>
      <c r="C46" s="7">
        <v>6</v>
      </c>
      <c r="D46" s="7" t="s">
        <v>53</v>
      </c>
      <c r="E46" s="7">
        <v>0</v>
      </c>
      <c r="F46" s="19" t="s">
        <v>114</v>
      </c>
    </row>
    <row r="47" spans="1:6" x14ac:dyDescent="0.2">
      <c r="A47" s="9" t="s">
        <v>40</v>
      </c>
      <c r="B47" s="9">
        <v>20</v>
      </c>
      <c r="C47" s="9">
        <v>20</v>
      </c>
      <c r="D47" s="9" t="s">
        <v>26</v>
      </c>
      <c r="E47" s="9">
        <v>1</v>
      </c>
    </row>
    <row r="48" spans="1:6" x14ac:dyDescent="0.2">
      <c r="A48" s="13" t="s">
        <v>12</v>
      </c>
      <c r="B48" s="13">
        <v>10</v>
      </c>
      <c r="C48" s="13">
        <v>10</v>
      </c>
      <c r="D48" s="13" t="s">
        <v>6</v>
      </c>
      <c r="E48" s="13">
        <v>1</v>
      </c>
    </row>
    <row r="49" spans="1:6" x14ac:dyDescent="0.2">
      <c r="A49" s="11" t="s">
        <v>126</v>
      </c>
      <c r="B49" s="11">
        <v>16</v>
      </c>
      <c r="C49" s="11">
        <v>16</v>
      </c>
      <c r="D49" s="11" t="s">
        <v>20</v>
      </c>
      <c r="E49" s="11">
        <v>1</v>
      </c>
    </row>
    <row r="50" spans="1:6" x14ac:dyDescent="0.2">
      <c r="A50" s="9" t="s">
        <v>70</v>
      </c>
      <c r="B50" s="9">
        <v>24</v>
      </c>
      <c r="C50" s="9">
        <v>24</v>
      </c>
      <c r="D50" s="9" t="s">
        <v>26</v>
      </c>
      <c r="E50" s="9">
        <v>1</v>
      </c>
    </row>
    <row r="51" spans="1:6" x14ac:dyDescent="0.2">
      <c r="A51" s="8" t="s">
        <v>0</v>
      </c>
      <c r="B51" s="8">
        <v>20</v>
      </c>
      <c r="C51" s="8">
        <v>20</v>
      </c>
      <c r="D51" s="8" t="s">
        <v>1</v>
      </c>
      <c r="E51" s="8">
        <v>1</v>
      </c>
    </row>
    <row r="52" spans="1:6" x14ac:dyDescent="0.2">
      <c r="A52" s="11" t="s">
        <v>23</v>
      </c>
      <c r="B52" s="11">
        <v>30</v>
      </c>
      <c r="C52" s="11">
        <v>30</v>
      </c>
      <c r="D52" s="11" t="s">
        <v>20</v>
      </c>
      <c r="E52" s="11">
        <v>1</v>
      </c>
    </row>
    <row r="53" spans="1:6" x14ac:dyDescent="0.2">
      <c r="A53" s="13" t="s">
        <v>13</v>
      </c>
      <c r="B53" s="13">
        <v>3</v>
      </c>
      <c r="C53" s="13">
        <v>3</v>
      </c>
      <c r="D53" s="13" t="s">
        <v>6</v>
      </c>
      <c r="E53" s="13">
        <v>1</v>
      </c>
      <c r="F53" s="19" t="str">
        <f>"A " &amp; LOWER(A53) &amp; " will take suffocation damage as well as fall damage."</f>
        <v>A pufferfish will take suffocation damage as well as fall damage.</v>
      </c>
    </row>
    <row r="54" spans="1:6" x14ac:dyDescent="0.2">
      <c r="A54" s="13" t="s">
        <v>14</v>
      </c>
      <c r="B54" s="13">
        <v>3</v>
      </c>
      <c r="C54" s="13">
        <v>3</v>
      </c>
      <c r="D54" s="13" t="s">
        <v>6</v>
      </c>
      <c r="E54" s="13">
        <v>1</v>
      </c>
    </row>
    <row r="55" spans="1:6" x14ac:dyDescent="0.2">
      <c r="A55" s="9" t="s">
        <v>71</v>
      </c>
      <c r="B55" s="9">
        <v>100</v>
      </c>
      <c r="C55" s="9">
        <v>100</v>
      </c>
      <c r="D55" s="9" t="s">
        <v>26</v>
      </c>
      <c r="E55" s="9">
        <v>1</v>
      </c>
    </row>
    <row r="56" spans="1:6" x14ac:dyDescent="0.2">
      <c r="A56" s="13" t="s">
        <v>15</v>
      </c>
      <c r="B56" s="13">
        <v>3</v>
      </c>
      <c r="C56" s="13">
        <v>3</v>
      </c>
      <c r="D56" s="13" t="s">
        <v>6</v>
      </c>
      <c r="E56" s="13">
        <v>1</v>
      </c>
      <c r="F56" s="19" t="str">
        <f>"A " &amp; LOWER(A56) &amp; " will take suffocation damage as well as fall damage."</f>
        <v>A salmon will take suffocation damage as well as fall damage.</v>
      </c>
    </row>
    <row r="57" spans="1:6" x14ac:dyDescent="0.2">
      <c r="A57" s="13" t="s">
        <v>16</v>
      </c>
      <c r="B57" s="13">
        <v>8</v>
      </c>
      <c r="C57" s="13">
        <v>8</v>
      </c>
      <c r="D57" s="13" t="s">
        <v>6</v>
      </c>
      <c r="E57" s="13">
        <v>1</v>
      </c>
    </row>
    <row r="58" spans="1:6" x14ac:dyDescent="0.2">
      <c r="A58" s="9" t="s">
        <v>41</v>
      </c>
      <c r="B58" s="9">
        <v>30</v>
      </c>
      <c r="C58" s="9">
        <v>30</v>
      </c>
      <c r="D58" s="9" t="s">
        <v>26</v>
      </c>
      <c r="E58" s="9">
        <v>0</v>
      </c>
      <c r="F58" s="19" t="s">
        <v>115</v>
      </c>
    </row>
    <row r="59" spans="1:6" x14ac:dyDescent="0.2">
      <c r="A59" s="9" t="s">
        <v>42</v>
      </c>
      <c r="B59" s="9">
        <v>8</v>
      </c>
      <c r="C59" s="9">
        <v>8</v>
      </c>
      <c r="D59" s="9" t="s">
        <v>26</v>
      </c>
      <c r="E59" s="9">
        <v>1</v>
      </c>
    </row>
    <row r="60" spans="1:6" x14ac:dyDescent="0.2">
      <c r="A60" s="9" t="s">
        <v>43</v>
      </c>
      <c r="B60" s="9">
        <v>20</v>
      </c>
      <c r="C60" s="9">
        <v>20</v>
      </c>
      <c r="D60" s="9" t="s">
        <v>26</v>
      </c>
      <c r="E60" s="9">
        <v>1</v>
      </c>
    </row>
    <row r="61" spans="1:6" x14ac:dyDescent="0.2">
      <c r="A61" s="7" t="s">
        <v>61</v>
      </c>
      <c r="B61" s="7">
        <v>15</v>
      </c>
      <c r="C61" s="7">
        <v>15</v>
      </c>
      <c r="D61" s="7" t="s">
        <v>53</v>
      </c>
      <c r="E61" s="7">
        <v>2</v>
      </c>
    </row>
    <row r="62" spans="1:6" x14ac:dyDescent="0.2">
      <c r="A62" s="9" t="s">
        <v>44</v>
      </c>
      <c r="B62" s="9">
        <v>16</v>
      </c>
      <c r="C62" s="9">
        <v>16</v>
      </c>
      <c r="D62" s="9" t="s">
        <v>26</v>
      </c>
      <c r="E62" s="9">
        <v>1</v>
      </c>
      <c r="F62" t="s">
        <v>111</v>
      </c>
    </row>
    <row r="63" spans="1:6" x14ac:dyDescent="0.2">
      <c r="A63" s="9" t="s">
        <v>119</v>
      </c>
      <c r="B63" s="9">
        <v>4</v>
      </c>
      <c r="C63" s="9">
        <v>4</v>
      </c>
      <c r="D63" s="9" t="s">
        <v>26</v>
      </c>
      <c r="E63" s="9">
        <v>1</v>
      </c>
      <c r="F63" t="s">
        <v>111</v>
      </c>
    </row>
    <row r="64" spans="1:6" x14ac:dyDescent="0.2">
      <c r="A64" s="9" t="s">
        <v>45</v>
      </c>
      <c r="B64" s="9">
        <v>1</v>
      </c>
      <c r="C64" s="9">
        <v>1</v>
      </c>
      <c r="D64" s="9" t="s">
        <v>26</v>
      </c>
      <c r="E64" s="9">
        <v>1</v>
      </c>
      <c r="F64" t="s">
        <v>111</v>
      </c>
    </row>
    <row r="65" spans="1:6" x14ac:dyDescent="0.2">
      <c r="A65" s="7" t="s">
        <v>139</v>
      </c>
      <c r="B65" s="7">
        <v>14</v>
      </c>
      <c r="C65" s="7">
        <v>14</v>
      </c>
      <c r="D65" s="7" t="s">
        <v>6</v>
      </c>
      <c r="E65" s="7">
        <v>1</v>
      </c>
    </row>
    <row r="66" spans="1:6" x14ac:dyDescent="0.2">
      <c r="A66" s="14" t="s">
        <v>64</v>
      </c>
      <c r="B66" s="14">
        <v>4</v>
      </c>
      <c r="C66" s="14">
        <v>4</v>
      </c>
      <c r="D66" s="14" t="s">
        <v>62</v>
      </c>
      <c r="E66" s="14">
        <v>0</v>
      </c>
      <c r="F66" s="19" t="s">
        <v>112</v>
      </c>
    </row>
    <row r="67" spans="1:6" x14ac:dyDescent="0.2">
      <c r="A67" s="11" t="s">
        <v>24</v>
      </c>
      <c r="B67" s="11">
        <v>16</v>
      </c>
      <c r="C67" s="11">
        <v>16</v>
      </c>
      <c r="D67" s="11" t="s">
        <v>20</v>
      </c>
      <c r="E67" s="11">
        <v>1</v>
      </c>
    </row>
    <row r="68" spans="1:6" x14ac:dyDescent="0.2">
      <c r="A68" s="13" t="s">
        <v>17</v>
      </c>
      <c r="B68" s="13">
        <v>10</v>
      </c>
      <c r="C68" s="13">
        <v>10</v>
      </c>
      <c r="D68" s="13" t="s">
        <v>6</v>
      </c>
      <c r="E68" s="13">
        <v>1</v>
      </c>
      <c r="F68" s="19" t="str">
        <f>"A " &amp; LOWER(A68) &amp; " will take suffocation damage as well as fall damage."</f>
        <v>A squid will take suffocation damage as well as fall damage.</v>
      </c>
    </row>
    <row r="69" spans="1:6" x14ac:dyDescent="0.2">
      <c r="A69" s="9" t="s">
        <v>46</v>
      </c>
      <c r="B69" s="9">
        <v>20</v>
      </c>
      <c r="C69" s="9">
        <v>20</v>
      </c>
      <c r="D69" s="9" t="s">
        <v>26</v>
      </c>
      <c r="E69" s="9">
        <v>1</v>
      </c>
    </row>
    <row r="70" spans="1:6" x14ac:dyDescent="0.2">
      <c r="A70" s="13" t="s">
        <v>135</v>
      </c>
      <c r="B70" s="13">
        <v>20</v>
      </c>
      <c r="C70" s="13">
        <v>20</v>
      </c>
      <c r="D70" s="13" t="s">
        <v>6</v>
      </c>
      <c r="E70" s="13">
        <v>1</v>
      </c>
    </row>
    <row r="71" spans="1:6" x14ac:dyDescent="0.2">
      <c r="A71" s="7" t="s">
        <v>144</v>
      </c>
      <c r="B71" s="7">
        <v>6</v>
      </c>
      <c r="C71" s="7">
        <v>6</v>
      </c>
      <c r="D71" s="7" t="s">
        <v>6</v>
      </c>
      <c r="E71" s="7">
        <v>1</v>
      </c>
    </row>
    <row r="72" spans="1:6" x14ac:dyDescent="0.2">
      <c r="A72" s="7" t="s">
        <v>72</v>
      </c>
      <c r="B72" s="7">
        <v>15</v>
      </c>
      <c r="C72" s="7">
        <v>30</v>
      </c>
      <c r="D72" s="7" t="s">
        <v>53</v>
      </c>
      <c r="E72" s="7">
        <v>2</v>
      </c>
      <c r="F72" t="str">
        <f>"A " &amp; LOWER(A72) &amp;" has random health (" &amp; B72 &amp; "-" &amp; C72 &amp; ")."</f>
        <v>A trader llama has random health (15-30).</v>
      </c>
    </row>
    <row r="73" spans="1:6" x14ac:dyDescent="0.2">
      <c r="A73" s="13" t="s">
        <v>31</v>
      </c>
      <c r="B73" s="13">
        <v>3</v>
      </c>
      <c r="C73" s="13">
        <v>3</v>
      </c>
      <c r="D73" s="13" t="s">
        <v>6</v>
      </c>
      <c r="E73" s="13">
        <v>1</v>
      </c>
      <c r="F73" s="19" t="str">
        <f>"A " &amp; LOWER(A73) &amp; " will take suffocation damage as well as fall damage."</f>
        <v>A tropical fish will take suffocation damage as well as fall damage.</v>
      </c>
    </row>
    <row r="74" spans="1:6" x14ac:dyDescent="0.2">
      <c r="A74" s="7" t="s">
        <v>31</v>
      </c>
      <c r="B74" s="7">
        <v>3</v>
      </c>
      <c r="C74" s="7">
        <v>3</v>
      </c>
      <c r="D74" s="7" t="s">
        <v>6</v>
      </c>
      <c r="E74" s="7">
        <v>1</v>
      </c>
      <c r="F74" s="19" t="str">
        <f>"A " &amp; LOWER(A74) &amp; " will take suffocation damage as well as fall damage."</f>
        <v>A tropical fish will take suffocation damage as well as fall damage.</v>
      </c>
    </row>
    <row r="75" spans="1:6" x14ac:dyDescent="0.2">
      <c r="A75" s="13" t="s">
        <v>18</v>
      </c>
      <c r="B75" s="13">
        <v>30</v>
      </c>
      <c r="C75" s="13">
        <v>30</v>
      </c>
      <c r="D75" s="13" t="s">
        <v>6</v>
      </c>
      <c r="E75" s="13">
        <v>1</v>
      </c>
    </row>
    <row r="76" spans="1:6" x14ac:dyDescent="0.2">
      <c r="A76" s="9" t="s">
        <v>47</v>
      </c>
      <c r="B76" s="9">
        <v>14</v>
      </c>
      <c r="C76" s="9">
        <v>14</v>
      </c>
      <c r="D76" s="9" t="s">
        <v>26</v>
      </c>
      <c r="E76" s="9">
        <v>0</v>
      </c>
      <c r="F76" s="19" t="s">
        <v>114</v>
      </c>
    </row>
    <row r="77" spans="1:6" x14ac:dyDescent="0.2">
      <c r="A77" s="13" t="s">
        <v>19</v>
      </c>
      <c r="B77" s="13">
        <v>20</v>
      </c>
      <c r="C77" s="13">
        <v>20</v>
      </c>
      <c r="D77" s="13" t="s">
        <v>6</v>
      </c>
      <c r="E77" s="13">
        <v>1</v>
      </c>
    </row>
    <row r="78" spans="1:6" x14ac:dyDescent="0.2">
      <c r="A78" s="9" t="s">
        <v>48</v>
      </c>
      <c r="B78" s="9">
        <v>24</v>
      </c>
      <c r="C78" s="9">
        <v>24</v>
      </c>
      <c r="D78" s="9" t="s">
        <v>26</v>
      </c>
      <c r="E78" s="9">
        <v>1</v>
      </c>
    </row>
    <row r="79" spans="1:6" x14ac:dyDescent="0.2">
      <c r="A79" s="13" t="s">
        <v>73</v>
      </c>
      <c r="B79" s="13">
        <v>20</v>
      </c>
      <c r="C79" s="13">
        <v>20</v>
      </c>
      <c r="D79" s="13" t="s">
        <v>6</v>
      </c>
      <c r="E79" s="13">
        <v>1</v>
      </c>
    </row>
    <row r="80" spans="1:6" x14ac:dyDescent="0.2">
      <c r="A80" s="9" t="s">
        <v>148</v>
      </c>
      <c r="B80" s="9">
        <v>500</v>
      </c>
      <c r="C80" s="9">
        <v>500</v>
      </c>
      <c r="D80" s="9" t="s">
        <v>26</v>
      </c>
      <c r="E80" s="9">
        <v>1</v>
      </c>
    </row>
    <row r="81" spans="1:6" x14ac:dyDescent="0.2">
      <c r="A81" s="9" t="s">
        <v>49</v>
      </c>
      <c r="B81" s="9">
        <v>26</v>
      </c>
      <c r="C81" s="9">
        <v>26</v>
      </c>
      <c r="D81" s="9" t="s">
        <v>26</v>
      </c>
      <c r="E81" s="9">
        <v>1</v>
      </c>
    </row>
    <row r="82" spans="1:6" x14ac:dyDescent="0.2">
      <c r="A82" s="12" t="s">
        <v>66</v>
      </c>
      <c r="B82" s="12">
        <v>300</v>
      </c>
      <c r="C82" s="12">
        <v>300</v>
      </c>
      <c r="D82" s="12" t="s">
        <v>65</v>
      </c>
      <c r="E82" s="12">
        <v>0</v>
      </c>
      <c r="F82" s="19" t="s">
        <v>114</v>
      </c>
    </row>
    <row r="83" spans="1:6" x14ac:dyDescent="0.2">
      <c r="A83" s="9" t="s">
        <v>50</v>
      </c>
      <c r="B83" s="9">
        <v>20</v>
      </c>
      <c r="C83" s="9">
        <v>20</v>
      </c>
      <c r="D83" s="9" t="s">
        <v>26</v>
      </c>
      <c r="E83" s="9">
        <v>1</v>
      </c>
    </row>
    <row r="84" spans="1:6" x14ac:dyDescent="0.2">
      <c r="A84" s="11" t="s">
        <v>25</v>
      </c>
      <c r="B84" s="11">
        <v>8</v>
      </c>
      <c r="C84" s="11">
        <v>8</v>
      </c>
      <c r="D84" s="11" t="s">
        <v>20</v>
      </c>
      <c r="E84" s="11">
        <v>1</v>
      </c>
    </row>
    <row r="85" spans="1:6" x14ac:dyDescent="0.2">
      <c r="A85" s="7" t="s">
        <v>25</v>
      </c>
      <c r="B85" s="7">
        <v>20</v>
      </c>
      <c r="C85" s="7">
        <v>20</v>
      </c>
      <c r="D85" s="7" t="s">
        <v>53</v>
      </c>
      <c r="E85" s="7">
        <v>1</v>
      </c>
    </row>
    <row r="86" spans="1:6" x14ac:dyDescent="0.2">
      <c r="A86" s="9" t="s">
        <v>128</v>
      </c>
      <c r="B86" s="9">
        <v>40</v>
      </c>
      <c r="C86" s="9">
        <v>40</v>
      </c>
      <c r="D86" s="9" t="s">
        <v>26</v>
      </c>
      <c r="E86" s="9">
        <v>1</v>
      </c>
    </row>
    <row r="87" spans="1:6" x14ac:dyDescent="0.2">
      <c r="A87" s="9" t="s">
        <v>51</v>
      </c>
      <c r="B87" s="9">
        <v>20</v>
      </c>
      <c r="C87" s="9">
        <v>20</v>
      </c>
      <c r="D87" s="9" t="s">
        <v>26</v>
      </c>
      <c r="E87" s="9">
        <v>1</v>
      </c>
    </row>
    <row r="88" spans="1:6" x14ac:dyDescent="0.2">
      <c r="A88" s="7" t="s">
        <v>76</v>
      </c>
      <c r="B88" s="7">
        <v>15</v>
      </c>
      <c r="C88" s="7">
        <v>15</v>
      </c>
      <c r="D88" s="7" t="s">
        <v>53</v>
      </c>
      <c r="E88" s="7">
        <v>2</v>
      </c>
    </row>
    <row r="89" spans="1:6" x14ac:dyDescent="0.2">
      <c r="A89" s="9" t="s">
        <v>52</v>
      </c>
      <c r="B89" s="9">
        <v>20</v>
      </c>
      <c r="C89" s="9">
        <v>20</v>
      </c>
      <c r="D89" s="9" t="s">
        <v>26</v>
      </c>
      <c r="E89" s="9">
        <v>1</v>
      </c>
    </row>
    <row r="90" spans="1:6" x14ac:dyDescent="0.2">
      <c r="A90" s="11" t="s">
        <v>129</v>
      </c>
      <c r="B90" s="11">
        <v>20</v>
      </c>
      <c r="C90" s="11">
        <v>20</v>
      </c>
      <c r="D90" s="11" t="s">
        <v>20</v>
      </c>
      <c r="E90" s="11">
        <v>1</v>
      </c>
    </row>
  </sheetData>
  <sortState xmlns:xlrd2="http://schemas.microsoft.com/office/spreadsheetml/2017/richdata2" ref="A2:F90">
    <sortCondition ref="A2:A9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77D99-3141-9E48-9345-E033D94DBEAF}">
  <dimension ref="A1:E12"/>
  <sheetViews>
    <sheetView workbookViewId="0">
      <selection activeCell="B12" sqref="B12"/>
    </sheetView>
  </sheetViews>
  <sheetFormatPr baseColWidth="10" defaultRowHeight="16" x14ac:dyDescent="0.2"/>
  <sheetData>
    <row r="1" spans="1:5" x14ac:dyDescent="0.2">
      <c r="A1" s="16" t="s">
        <v>2</v>
      </c>
      <c r="B1" s="16" t="s">
        <v>3</v>
      </c>
      <c r="C1" s="16" t="s">
        <v>123</v>
      </c>
      <c r="D1" s="1"/>
      <c r="E1" s="1"/>
    </row>
    <row r="2" spans="1:5" x14ac:dyDescent="0.2">
      <c r="A2" t="s">
        <v>28</v>
      </c>
      <c r="B2">
        <v>20</v>
      </c>
      <c r="C2">
        <f>MAX(0,B2-$C$12)</f>
        <v>20</v>
      </c>
    </row>
    <row r="3" spans="1:5" x14ac:dyDescent="0.2">
      <c r="A3" t="s">
        <v>22</v>
      </c>
      <c r="B3">
        <v>40</v>
      </c>
      <c r="C3">
        <f t="shared" ref="C3:C7" si="0">MAX(0,B3-$C$12)</f>
        <v>40</v>
      </c>
    </row>
    <row r="4" spans="1:5" x14ac:dyDescent="0.2">
      <c r="A4" t="s">
        <v>43</v>
      </c>
      <c r="B4">
        <v>20</v>
      </c>
      <c r="C4">
        <f t="shared" si="0"/>
        <v>20</v>
      </c>
    </row>
    <row r="5" spans="1:5" x14ac:dyDescent="0.2">
      <c r="A5" t="s">
        <v>24</v>
      </c>
      <c r="B5">
        <v>16</v>
      </c>
      <c r="C5">
        <f t="shared" si="0"/>
        <v>16</v>
      </c>
    </row>
    <row r="6" spans="1:5" x14ac:dyDescent="0.2">
      <c r="A6" t="s">
        <v>49</v>
      </c>
      <c r="B6">
        <v>26</v>
      </c>
      <c r="C6">
        <f t="shared" si="0"/>
        <v>26</v>
      </c>
    </row>
    <row r="7" spans="1:5" x14ac:dyDescent="0.2">
      <c r="A7" t="s">
        <v>51</v>
      </c>
      <c r="B7">
        <v>20</v>
      </c>
      <c r="C7">
        <f t="shared" si="0"/>
        <v>20</v>
      </c>
    </row>
    <row r="10" spans="1:5" x14ac:dyDescent="0.2">
      <c r="A10" s="1" t="s">
        <v>121</v>
      </c>
      <c r="B10" s="2">
        <v>1</v>
      </c>
    </row>
    <row r="11" spans="1:5" x14ac:dyDescent="0.2">
      <c r="B11" s="26" t="s">
        <v>120</v>
      </c>
      <c r="C11" s="26" t="s">
        <v>122</v>
      </c>
    </row>
    <row r="12" spans="1:5" x14ac:dyDescent="0.2">
      <c r="B12" s="26">
        <f>_xlfn.IFNA(MATCH($B$10,Falling!$D$2:$D$200,0),MATCH($B$10,Falling!$D$2:$D$200,1))</f>
        <v>5</v>
      </c>
      <c r="C12" s="26" cm="1">
        <f t="array" ref="C12">INDEX(Falling!H2:H200,B12)</f>
        <v>0</v>
      </c>
    </row>
  </sheetData>
  <sortState xmlns:xlrd2="http://schemas.microsoft.com/office/spreadsheetml/2017/richdata2" ref="A2:B7">
    <sortCondition ref="A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BD8AA-DB29-FF40-902B-753D1B9F3CF6}">
  <dimension ref="A1:P238"/>
  <sheetViews>
    <sheetView workbookViewId="0">
      <selection activeCell="J2" sqref="J2"/>
    </sheetView>
  </sheetViews>
  <sheetFormatPr baseColWidth="10" defaultRowHeight="16" x14ac:dyDescent="0.2"/>
  <cols>
    <col min="2" max="2" width="10.83203125" style="30"/>
    <col min="7" max="7" width="10.83203125" style="30"/>
    <col min="9" max="9" width="11.5" bestFit="1" customWidth="1"/>
    <col min="10" max="11" width="10.83203125" style="15"/>
    <col min="12" max="13" width="11.6640625" customWidth="1"/>
    <col min="14" max="14" width="16.6640625" customWidth="1"/>
    <col min="15" max="15" width="17" bestFit="1" customWidth="1"/>
  </cols>
  <sheetData>
    <row r="1" spans="1:16" x14ac:dyDescent="0.2">
      <c r="A1" s="16" t="s">
        <v>84</v>
      </c>
      <c r="B1" s="27" t="s">
        <v>97</v>
      </c>
      <c r="C1" s="16" t="s">
        <v>85</v>
      </c>
      <c r="D1" s="16" t="s">
        <v>98</v>
      </c>
      <c r="E1" s="16" t="s">
        <v>117</v>
      </c>
      <c r="F1" s="16" t="s">
        <v>99</v>
      </c>
      <c r="G1" s="27" t="s">
        <v>149</v>
      </c>
      <c r="H1" s="16" t="s">
        <v>109</v>
      </c>
      <c r="I1" s="16" t="s">
        <v>108</v>
      </c>
      <c r="J1" s="22" t="s">
        <v>110</v>
      </c>
      <c r="K1" s="22" t="s">
        <v>132</v>
      </c>
      <c r="P1" s="1"/>
    </row>
    <row r="2" spans="1:16" x14ac:dyDescent="0.2">
      <c r="A2" cm="1">
        <f t="array" ref="A2:A200">_xlfn.SEQUENCE(199,1,0,1)</f>
        <v>0</v>
      </c>
      <c r="B2" s="31" cm="1">
        <f t="array" ref="B2:B200">_xlfn.ANCHORARRAY(A2)/20</f>
        <v>0</v>
      </c>
      <c r="C2" s="6">
        <f t="shared" ref="C2:C33" si="0">((0.98 ^ A2) - 1) * 3.92</f>
        <v>0</v>
      </c>
      <c r="D2" s="6">
        <f>ABS(SUM(C$2:C2))</f>
        <v>0</v>
      </c>
      <c r="E2" s="6">
        <f>_xlfn.CEILING.MATH(D2, 0.5)-D2</f>
        <v>0</v>
      </c>
      <c r="F2" s="3">
        <f>_xlfn.CEILING.MATH(D2, 0.5)</f>
        <v>0</v>
      </c>
      <c r="G2" s="28" cm="1">
        <f t="array" ref="G2:G200">MAX0(_xlfn.CEILING.MATH(D2:D200*0))</f>
        <v>0</v>
      </c>
      <c r="H2" s="15" cm="1">
        <f t="array" ref="H2:H200">MAX0(_xlfn.CEILING.MATH(D2:D200-3))</f>
        <v>0</v>
      </c>
      <c r="I2" s="15" cm="1">
        <f t="array" ref="I2:I200">MAX0(_xlfn.CEILING.MATH(D2:D200*0.5-6))</f>
        <v>0</v>
      </c>
      <c r="J2" s="15" cm="1">
        <f t="array" ref="J2:J200">MAX0(_xlfn.CEILING.MATH(D2:D200-5))</f>
        <v>0</v>
      </c>
      <c r="K2" s="15" cm="1">
        <f t="array" ref="K2:K200">MAX0(_xlfn.CEILING.MATH(D2:D200-23))</f>
        <v>0</v>
      </c>
      <c r="M2" s="6"/>
    </row>
    <row r="3" spans="1:16" x14ac:dyDescent="0.2">
      <c r="A3">
        <v>1</v>
      </c>
      <c r="B3" s="31">
        <v>0.05</v>
      </c>
      <c r="C3" s="6">
        <f t="shared" si="0"/>
        <v>-7.8400000000000067E-2</v>
      </c>
      <c r="D3" s="6">
        <f>ABS(SUM(C$2:C3))</f>
        <v>7.8400000000000067E-2</v>
      </c>
      <c r="E3" s="6">
        <f t="shared" ref="E3:E66" si="1">_xlfn.CEILING.MATH(D3, 0.5)-D3</f>
        <v>0.42159999999999992</v>
      </c>
      <c r="F3" s="3">
        <f t="shared" ref="F3:F66" si="2">_xlfn.CEILING.MATH(D3, 0.5)</f>
        <v>0.5</v>
      </c>
      <c r="G3" s="28">
        <v>0</v>
      </c>
      <c r="H3" s="15">
        <v>0</v>
      </c>
      <c r="I3" s="15">
        <v>0</v>
      </c>
      <c r="J3" s="15">
        <v>0</v>
      </c>
      <c r="K3" s="15">
        <v>0</v>
      </c>
    </row>
    <row r="4" spans="1:16" x14ac:dyDescent="0.2">
      <c r="A4">
        <v>2</v>
      </c>
      <c r="B4" s="31">
        <v>0.1</v>
      </c>
      <c r="C4" s="6">
        <f t="shared" si="0"/>
        <v>-0.15523200000000031</v>
      </c>
      <c r="D4" s="6">
        <f>ABS(SUM(C$2:C4))</f>
        <v>0.23363200000000039</v>
      </c>
      <c r="E4" s="6">
        <f t="shared" si="1"/>
        <v>0.26636799999999961</v>
      </c>
      <c r="F4" s="3">
        <f t="shared" si="2"/>
        <v>0.5</v>
      </c>
      <c r="G4" s="28">
        <v>0</v>
      </c>
      <c r="H4" s="15">
        <v>0</v>
      </c>
      <c r="I4" s="15">
        <v>0</v>
      </c>
      <c r="J4" s="15">
        <v>0</v>
      </c>
      <c r="K4" s="15">
        <v>0</v>
      </c>
    </row>
    <row r="5" spans="1:16" x14ac:dyDescent="0.2">
      <c r="A5">
        <v>3</v>
      </c>
      <c r="B5" s="31">
        <v>0.15</v>
      </c>
      <c r="C5" s="6">
        <f t="shared" si="0"/>
        <v>-0.23052736000000032</v>
      </c>
      <c r="D5" s="6">
        <f>ABS(SUM(C$2:C5))</f>
        <v>0.46415936000000069</v>
      </c>
      <c r="E5" s="6">
        <f t="shared" si="1"/>
        <v>3.5840639999999313E-2</v>
      </c>
      <c r="F5" s="3">
        <f t="shared" si="2"/>
        <v>0.5</v>
      </c>
      <c r="G5" s="28">
        <v>0</v>
      </c>
      <c r="H5" s="15">
        <v>0</v>
      </c>
      <c r="I5" s="15">
        <v>0</v>
      </c>
      <c r="J5" s="15">
        <v>0</v>
      </c>
      <c r="K5" s="15">
        <v>0</v>
      </c>
    </row>
    <row r="6" spans="1:16" x14ac:dyDescent="0.2">
      <c r="A6">
        <v>4</v>
      </c>
      <c r="B6" s="31">
        <v>0.2</v>
      </c>
      <c r="C6" s="6">
        <f t="shared" si="0"/>
        <v>-0.30431681280000045</v>
      </c>
      <c r="D6" s="6">
        <f>ABS(SUM(C$2:C6))</f>
        <v>0.76847617280000113</v>
      </c>
      <c r="E6" s="6">
        <f t="shared" si="1"/>
        <v>0.23152382719999887</v>
      </c>
      <c r="F6" s="3">
        <f t="shared" si="2"/>
        <v>1</v>
      </c>
      <c r="G6" s="28">
        <v>0</v>
      </c>
      <c r="H6" s="15">
        <v>0</v>
      </c>
      <c r="I6" s="15">
        <v>0</v>
      </c>
      <c r="J6" s="15">
        <v>0</v>
      </c>
      <c r="K6" s="15">
        <v>0</v>
      </c>
    </row>
    <row r="7" spans="1:16" x14ac:dyDescent="0.2">
      <c r="A7">
        <v>5</v>
      </c>
      <c r="B7" s="31">
        <v>0.25</v>
      </c>
      <c r="C7" s="6">
        <f t="shared" si="0"/>
        <v>-0.37663047654400073</v>
      </c>
      <c r="D7" s="6">
        <f>ABS(SUM(C$2:C7))</f>
        <v>1.1451066493440019</v>
      </c>
      <c r="E7" s="6">
        <f t="shared" si="1"/>
        <v>0.35489335065599814</v>
      </c>
      <c r="F7" s="3">
        <f t="shared" si="2"/>
        <v>1.5</v>
      </c>
      <c r="G7" s="28">
        <v>0</v>
      </c>
      <c r="H7" s="15">
        <v>0</v>
      </c>
      <c r="I7" s="15">
        <v>0</v>
      </c>
      <c r="J7" s="15">
        <v>0</v>
      </c>
      <c r="K7" s="15">
        <v>0</v>
      </c>
    </row>
    <row r="8" spans="1:16" x14ac:dyDescent="0.2">
      <c r="A8">
        <v>6</v>
      </c>
      <c r="B8" s="31">
        <v>0.3</v>
      </c>
      <c r="C8" s="6">
        <f t="shared" si="0"/>
        <v>-0.44749786701312078</v>
      </c>
      <c r="D8" s="6">
        <f>ABS(SUM(C$2:C8))</f>
        <v>1.5926045163571225</v>
      </c>
      <c r="E8" s="6">
        <f t="shared" si="1"/>
        <v>0.40739548364287748</v>
      </c>
      <c r="F8" s="3">
        <f t="shared" si="2"/>
        <v>2</v>
      </c>
      <c r="G8" s="28">
        <v>0</v>
      </c>
      <c r="H8" s="15">
        <v>0</v>
      </c>
      <c r="I8" s="15">
        <v>0</v>
      </c>
      <c r="J8" s="15">
        <v>0</v>
      </c>
      <c r="K8" s="15">
        <v>0</v>
      </c>
    </row>
    <row r="9" spans="1:16" x14ac:dyDescent="0.2">
      <c r="A9">
        <v>7</v>
      </c>
      <c r="B9" s="31">
        <v>0.35</v>
      </c>
      <c r="C9" s="6">
        <f t="shared" si="0"/>
        <v>-0.51694790967285831</v>
      </c>
      <c r="D9" s="6">
        <f>ABS(SUM(C$2:C9))</f>
        <v>2.1095524260299809</v>
      </c>
      <c r="E9" s="6">
        <f t="shared" si="1"/>
        <v>0.39044757397001906</v>
      </c>
      <c r="F9" s="3">
        <f t="shared" si="2"/>
        <v>2.5</v>
      </c>
      <c r="G9" s="28">
        <v>0</v>
      </c>
      <c r="H9" s="15">
        <v>0</v>
      </c>
      <c r="I9" s="15">
        <v>0</v>
      </c>
      <c r="J9" s="15">
        <v>0</v>
      </c>
      <c r="K9" s="15">
        <v>0</v>
      </c>
    </row>
    <row r="10" spans="1:16" x14ac:dyDescent="0.2">
      <c r="A10">
        <v>8</v>
      </c>
      <c r="B10" s="31">
        <v>0.4</v>
      </c>
      <c r="C10" s="6">
        <f t="shared" si="0"/>
        <v>-0.58500895147940135</v>
      </c>
      <c r="D10" s="6">
        <f>ABS(SUM(C$2:C10))</f>
        <v>2.6945613775093822</v>
      </c>
      <c r="E10" s="6">
        <f t="shared" si="1"/>
        <v>0.30543862249061782</v>
      </c>
      <c r="F10" s="3">
        <f t="shared" si="2"/>
        <v>3</v>
      </c>
      <c r="G10" s="28">
        <v>0</v>
      </c>
      <c r="H10" s="15">
        <v>0</v>
      </c>
      <c r="I10" s="15">
        <v>0</v>
      </c>
      <c r="J10" s="15">
        <v>0</v>
      </c>
      <c r="K10" s="15">
        <v>0</v>
      </c>
    </row>
    <row r="11" spans="1:16" x14ac:dyDescent="0.2">
      <c r="A11">
        <v>9</v>
      </c>
      <c r="B11" s="31">
        <v>0.45</v>
      </c>
      <c r="C11" s="6">
        <f t="shared" si="0"/>
        <v>-0.65170877244981329</v>
      </c>
      <c r="D11" s="6">
        <f>ABS(SUM(C$2:C11))</f>
        <v>3.3462701499591954</v>
      </c>
      <c r="E11" s="6">
        <f t="shared" si="1"/>
        <v>0.15372985004080464</v>
      </c>
      <c r="F11" s="3">
        <f t="shared" si="2"/>
        <v>3.5</v>
      </c>
      <c r="G11" s="28">
        <v>0</v>
      </c>
      <c r="H11" s="15">
        <v>1</v>
      </c>
      <c r="I11" s="15">
        <v>0</v>
      </c>
      <c r="J11" s="15">
        <v>0</v>
      </c>
      <c r="K11" s="15">
        <v>0</v>
      </c>
    </row>
    <row r="12" spans="1:16" x14ac:dyDescent="0.2">
      <c r="A12">
        <v>10</v>
      </c>
      <c r="B12" s="31">
        <v>0.5</v>
      </c>
      <c r="C12" s="6">
        <f t="shared" si="0"/>
        <v>-0.71707459700081744</v>
      </c>
      <c r="D12" s="6">
        <f>ABS(SUM(C$2:C12))</f>
        <v>4.0633447469600128</v>
      </c>
      <c r="E12" s="6">
        <f t="shared" si="1"/>
        <v>0.4366552530399872</v>
      </c>
      <c r="F12" s="3">
        <f t="shared" si="2"/>
        <v>4.5</v>
      </c>
      <c r="G12" s="28">
        <v>0</v>
      </c>
      <c r="H12" s="15">
        <v>2</v>
      </c>
      <c r="I12" s="15">
        <v>0</v>
      </c>
      <c r="J12" s="15">
        <v>0</v>
      </c>
      <c r="K12" s="15">
        <v>0</v>
      </c>
    </row>
    <row r="13" spans="1:16" x14ac:dyDescent="0.2">
      <c r="A13">
        <v>11</v>
      </c>
      <c r="B13" s="31">
        <v>0.55000000000000004</v>
      </c>
      <c r="C13" s="6">
        <f t="shared" si="0"/>
        <v>-0.78113310506080114</v>
      </c>
      <c r="D13" s="6">
        <f>ABS(SUM(C$2:C13))</f>
        <v>4.8444778520208143</v>
      </c>
      <c r="E13" s="6">
        <f t="shared" si="1"/>
        <v>0.15552214797918573</v>
      </c>
      <c r="F13" s="3">
        <f t="shared" si="2"/>
        <v>5</v>
      </c>
      <c r="G13" s="28">
        <v>0</v>
      </c>
      <c r="H13" s="15">
        <v>2</v>
      </c>
      <c r="I13" s="15">
        <v>0</v>
      </c>
      <c r="J13" s="15">
        <v>0</v>
      </c>
      <c r="K13" s="15">
        <v>0</v>
      </c>
    </row>
    <row r="14" spans="1:16" x14ac:dyDescent="0.2">
      <c r="A14">
        <v>12</v>
      </c>
      <c r="B14" s="31">
        <v>0.6</v>
      </c>
      <c r="C14" s="6">
        <f t="shared" si="0"/>
        <v>-0.84391044295958506</v>
      </c>
      <c r="D14" s="6">
        <f>ABS(SUM(C$2:C14))</f>
        <v>5.688388294980399</v>
      </c>
      <c r="E14" s="6">
        <f t="shared" si="1"/>
        <v>0.311611705019601</v>
      </c>
      <c r="F14" s="3">
        <f t="shared" si="2"/>
        <v>6</v>
      </c>
      <c r="G14" s="28">
        <v>0</v>
      </c>
      <c r="H14" s="15">
        <v>3</v>
      </c>
      <c r="I14" s="15">
        <v>0</v>
      </c>
      <c r="J14" s="15">
        <v>1</v>
      </c>
      <c r="K14" s="15">
        <v>0</v>
      </c>
    </row>
    <row r="15" spans="1:16" x14ac:dyDescent="0.2">
      <c r="A15">
        <v>13</v>
      </c>
      <c r="B15" s="31">
        <v>0.65</v>
      </c>
      <c r="C15" s="6">
        <f t="shared" si="0"/>
        <v>-0.90543223410039353</v>
      </c>
      <c r="D15" s="6">
        <f>ABS(SUM(C$2:C15))</f>
        <v>6.5938205290807925</v>
      </c>
      <c r="E15" s="6">
        <f t="shared" si="1"/>
        <v>0.40617947091920747</v>
      </c>
      <c r="F15" s="3">
        <f t="shared" si="2"/>
        <v>7</v>
      </c>
      <c r="G15" s="28">
        <v>0</v>
      </c>
      <c r="H15" s="15">
        <v>4</v>
      </c>
      <c r="I15" s="15">
        <v>0</v>
      </c>
      <c r="J15" s="15">
        <v>2</v>
      </c>
      <c r="K15" s="15">
        <v>0</v>
      </c>
    </row>
    <row r="16" spans="1:16" x14ac:dyDescent="0.2">
      <c r="A16">
        <v>14</v>
      </c>
      <c r="B16" s="31">
        <v>0.7</v>
      </c>
      <c r="C16" s="6">
        <f t="shared" si="0"/>
        <v>-0.96572358941838576</v>
      </c>
      <c r="D16" s="6">
        <f>ABS(SUM(C$2:C16))</f>
        <v>7.5595441184991783</v>
      </c>
      <c r="E16" s="6">
        <f t="shared" si="1"/>
        <v>0.44045588150082171</v>
      </c>
      <c r="F16" s="3">
        <f t="shared" si="2"/>
        <v>8</v>
      </c>
      <c r="G16" s="28">
        <v>0</v>
      </c>
      <c r="H16" s="15">
        <v>5</v>
      </c>
      <c r="I16" s="15">
        <v>0</v>
      </c>
      <c r="J16" s="15">
        <v>3</v>
      </c>
      <c r="K16" s="15">
        <v>0</v>
      </c>
    </row>
    <row r="17" spans="1:11" x14ac:dyDescent="0.2">
      <c r="A17">
        <v>15</v>
      </c>
      <c r="B17" s="31">
        <v>0.75</v>
      </c>
      <c r="C17" s="6">
        <f t="shared" si="0"/>
        <v>-1.024809117630018</v>
      </c>
      <c r="D17" s="6">
        <f>ABS(SUM(C$2:C17))</f>
        <v>8.5843532361291963</v>
      </c>
      <c r="E17" s="6">
        <f t="shared" si="1"/>
        <v>0.41564676387080368</v>
      </c>
      <c r="F17" s="3">
        <f t="shared" si="2"/>
        <v>9</v>
      </c>
      <c r="G17" s="28">
        <v>0</v>
      </c>
      <c r="H17" s="15">
        <v>6</v>
      </c>
      <c r="I17" s="15">
        <v>0</v>
      </c>
      <c r="J17" s="15">
        <v>4</v>
      </c>
      <c r="K17" s="15">
        <v>0</v>
      </c>
    </row>
    <row r="18" spans="1:11" x14ac:dyDescent="0.2">
      <c r="A18">
        <v>16</v>
      </c>
      <c r="B18" s="31">
        <v>0.8</v>
      </c>
      <c r="C18" s="6">
        <f t="shared" si="0"/>
        <v>-1.0827129352774176</v>
      </c>
      <c r="D18" s="6">
        <f>ABS(SUM(C$2:C18))</f>
        <v>9.6670661714066135</v>
      </c>
      <c r="E18" s="6">
        <f t="shared" si="1"/>
        <v>0.33293382859338649</v>
      </c>
      <c r="F18" s="3">
        <f t="shared" si="2"/>
        <v>10</v>
      </c>
      <c r="G18" s="28">
        <v>0</v>
      </c>
      <c r="H18" s="15">
        <v>7</v>
      </c>
      <c r="I18" s="15">
        <v>0</v>
      </c>
      <c r="J18" s="15">
        <v>5</v>
      </c>
      <c r="K18" s="15">
        <v>0</v>
      </c>
    </row>
    <row r="19" spans="1:11" x14ac:dyDescent="0.2">
      <c r="A19">
        <v>17</v>
      </c>
      <c r="B19" s="31">
        <v>0.85</v>
      </c>
      <c r="C19" s="6">
        <f t="shared" si="0"/>
        <v>-1.1394586765718693</v>
      </c>
      <c r="D19" s="6">
        <f>ABS(SUM(C$2:C19))</f>
        <v>10.806524847978483</v>
      </c>
      <c r="E19" s="6">
        <f t="shared" si="1"/>
        <v>0.19347515202151655</v>
      </c>
      <c r="F19" s="3">
        <f t="shared" si="2"/>
        <v>11</v>
      </c>
      <c r="G19" s="28">
        <v>0</v>
      </c>
      <c r="H19" s="15">
        <v>8</v>
      </c>
      <c r="I19" s="15">
        <v>0</v>
      </c>
      <c r="J19" s="15">
        <v>6</v>
      </c>
      <c r="K19" s="15">
        <v>0</v>
      </c>
    </row>
    <row r="20" spans="1:11" x14ac:dyDescent="0.2">
      <c r="A20">
        <v>18</v>
      </c>
      <c r="B20" s="31">
        <v>0.9</v>
      </c>
      <c r="C20" s="6">
        <f t="shared" si="0"/>
        <v>-1.1950695030404321</v>
      </c>
      <c r="D20" s="6">
        <f>ABS(SUM(C$2:C20))</f>
        <v>12.001594351018916</v>
      </c>
      <c r="E20" s="6">
        <f t="shared" si="1"/>
        <v>0.49840564898108397</v>
      </c>
      <c r="F20" s="3">
        <f t="shared" si="2"/>
        <v>12.5</v>
      </c>
      <c r="G20" s="28">
        <v>0</v>
      </c>
      <c r="H20" s="15">
        <v>10</v>
      </c>
      <c r="I20" s="15">
        <v>1</v>
      </c>
      <c r="J20" s="15">
        <v>8</v>
      </c>
      <c r="K20" s="15">
        <v>0</v>
      </c>
    </row>
    <row r="21" spans="1:11" x14ac:dyDescent="0.2">
      <c r="A21">
        <v>19</v>
      </c>
      <c r="B21" s="31">
        <v>0.95</v>
      </c>
      <c r="C21" s="6">
        <f t="shared" si="0"/>
        <v>-1.2495681129796234</v>
      </c>
      <c r="D21" s="6">
        <f>ABS(SUM(C$2:C21))</f>
        <v>13.25116246399854</v>
      </c>
      <c r="E21" s="6">
        <f t="shared" si="1"/>
        <v>0.24883753600146008</v>
      </c>
      <c r="F21" s="3">
        <f t="shared" si="2"/>
        <v>13.5</v>
      </c>
      <c r="G21" s="28">
        <v>0</v>
      </c>
      <c r="H21" s="15">
        <v>11</v>
      </c>
      <c r="I21" s="15">
        <v>1</v>
      </c>
      <c r="J21" s="15">
        <v>9</v>
      </c>
      <c r="K21" s="15">
        <v>0</v>
      </c>
    </row>
    <row r="22" spans="1:11" x14ac:dyDescent="0.2">
      <c r="A22">
        <v>20</v>
      </c>
      <c r="B22" s="31">
        <v>1</v>
      </c>
      <c r="C22" s="6">
        <f t="shared" si="0"/>
        <v>-1.3029767507200309</v>
      </c>
      <c r="D22" s="6">
        <f>ABS(SUM(C$2:C22))</f>
        <v>14.554139214718571</v>
      </c>
      <c r="E22" s="6">
        <f t="shared" si="1"/>
        <v>0.44586078528142892</v>
      </c>
      <c r="F22" s="3">
        <f t="shared" si="2"/>
        <v>15</v>
      </c>
      <c r="G22" s="28">
        <v>0</v>
      </c>
      <c r="H22" s="15">
        <v>12</v>
      </c>
      <c r="I22" s="15">
        <v>2</v>
      </c>
      <c r="J22" s="15">
        <v>10</v>
      </c>
      <c r="K22" s="15">
        <v>0</v>
      </c>
    </row>
    <row r="23" spans="1:11" x14ac:dyDescent="0.2">
      <c r="A23">
        <v>21</v>
      </c>
      <c r="B23" s="31">
        <v>1.05</v>
      </c>
      <c r="C23" s="6">
        <f t="shared" si="0"/>
        <v>-1.3553172157056306</v>
      </c>
      <c r="D23" s="6">
        <f>ABS(SUM(C$2:C23))</f>
        <v>15.909456430424202</v>
      </c>
      <c r="E23" s="6">
        <f t="shared" si="1"/>
        <v>9.0543569575798344E-2</v>
      </c>
      <c r="F23" s="3">
        <f t="shared" si="2"/>
        <v>16</v>
      </c>
      <c r="G23" s="28">
        <v>0</v>
      </c>
      <c r="H23" s="15">
        <v>13</v>
      </c>
      <c r="I23" s="15">
        <v>2</v>
      </c>
      <c r="J23" s="15">
        <v>11</v>
      </c>
      <c r="K23" s="15">
        <v>0</v>
      </c>
    </row>
    <row r="24" spans="1:11" x14ac:dyDescent="0.2">
      <c r="A24">
        <v>22</v>
      </c>
      <c r="B24" s="31">
        <v>1.1000000000000001</v>
      </c>
      <c r="C24" s="6">
        <f t="shared" si="0"/>
        <v>-1.406610871391518</v>
      </c>
      <c r="D24" s="6">
        <f>ABS(SUM(C$2:C24))</f>
        <v>17.316067301815721</v>
      </c>
      <c r="E24" s="6">
        <f t="shared" si="1"/>
        <v>0.18393269818427882</v>
      </c>
      <c r="F24" s="3">
        <f t="shared" si="2"/>
        <v>17.5</v>
      </c>
      <c r="G24" s="28">
        <v>0</v>
      </c>
      <c r="H24" s="15">
        <v>15</v>
      </c>
      <c r="I24" s="15">
        <v>3</v>
      </c>
      <c r="J24" s="15">
        <v>13</v>
      </c>
      <c r="K24" s="15">
        <v>0</v>
      </c>
    </row>
    <row r="25" spans="1:11" x14ac:dyDescent="0.2">
      <c r="A25">
        <v>23</v>
      </c>
      <c r="B25" s="31">
        <v>1.1499999999999999</v>
      </c>
      <c r="C25" s="6">
        <f t="shared" si="0"/>
        <v>-1.4568786539636878</v>
      </c>
      <c r="D25" s="6">
        <f>ABS(SUM(C$2:C25))</f>
        <v>18.772945955779409</v>
      </c>
      <c r="E25" s="6">
        <f t="shared" si="1"/>
        <v>0.22705404422059061</v>
      </c>
      <c r="F25" s="3">
        <f t="shared" si="2"/>
        <v>19</v>
      </c>
      <c r="G25" s="28">
        <v>0</v>
      </c>
      <c r="H25" s="15">
        <v>16</v>
      </c>
      <c r="I25" s="15">
        <v>4</v>
      </c>
      <c r="J25" s="15">
        <v>14</v>
      </c>
      <c r="K25" s="15">
        <v>0</v>
      </c>
    </row>
    <row r="26" spans="1:11" x14ac:dyDescent="0.2">
      <c r="A26">
        <v>24</v>
      </c>
      <c r="B26" s="31">
        <v>1.2</v>
      </c>
      <c r="C26" s="6">
        <f t="shared" si="0"/>
        <v>-1.506141080884414</v>
      </c>
      <c r="D26" s="6">
        <f>ABS(SUM(C$2:C26))</f>
        <v>20.279087036663825</v>
      </c>
      <c r="E26" s="6">
        <f t="shared" si="1"/>
        <v>0.22091296333617549</v>
      </c>
      <c r="F26" s="3">
        <f t="shared" si="2"/>
        <v>20.5</v>
      </c>
      <c r="G26" s="28">
        <v>0</v>
      </c>
      <c r="H26" s="15">
        <v>18</v>
      </c>
      <c r="I26" s="15">
        <v>5</v>
      </c>
      <c r="J26" s="15">
        <v>16</v>
      </c>
      <c r="K26" s="15">
        <v>0</v>
      </c>
    </row>
    <row r="27" spans="1:11" x14ac:dyDescent="0.2">
      <c r="A27">
        <v>25</v>
      </c>
      <c r="B27" s="31">
        <v>1.25</v>
      </c>
      <c r="C27" s="6">
        <f t="shared" si="0"/>
        <v>-1.5544182592667259</v>
      </c>
      <c r="D27" s="6">
        <f>ABS(SUM(C$2:C27))</f>
        <v>21.83350529593055</v>
      </c>
      <c r="E27" s="6">
        <f t="shared" si="1"/>
        <v>0.16649470406944999</v>
      </c>
      <c r="F27" s="3">
        <f t="shared" si="2"/>
        <v>22</v>
      </c>
      <c r="G27" s="28">
        <v>0</v>
      </c>
      <c r="H27" s="15">
        <v>19</v>
      </c>
      <c r="I27" s="15">
        <v>5</v>
      </c>
      <c r="J27" s="15">
        <v>17</v>
      </c>
      <c r="K27" s="15">
        <v>0</v>
      </c>
    </row>
    <row r="28" spans="1:11" x14ac:dyDescent="0.2">
      <c r="A28">
        <v>26</v>
      </c>
      <c r="B28" s="31">
        <v>1.3</v>
      </c>
      <c r="C28" s="6">
        <f t="shared" si="0"/>
        <v>-1.6017298940813915</v>
      </c>
      <c r="D28" s="6">
        <f>ABS(SUM(C$2:C28))</f>
        <v>23.435235190011941</v>
      </c>
      <c r="E28" s="6">
        <f t="shared" si="1"/>
        <v>6.4764809988059113E-2</v>
      </c>
      <c r="F28" s="3">
        <f t="shared" si="2"/>
        <v>23.5</v>
      </c>
      <c r="G28" s="28">
        <v>0</v>
      </c>
      <c r="H28" s="15">
        <v>21</v>
      </c>
      <c r="I28" s="15">
        <v>6</v>
      </c>
      <c r="J28" s="15">
        <v>19</v>
      </c>
      <c r="K28" s="15">
        <v>1</v>
      </c>
    </row>
    <row r="29" spans="1:11" x14ac:dyDescent="0.2">
      <c r="A29">
        <v>27</v>
      </c>
      <c r="B29" s="31">
        <v>1.35</v>
      </c>
      <c r="C29" s="6">
        <f t="shared" si="0"/>
        <v>-1.6480952961997639</v>
      </c>
      <c r="D29" s="6">
        <f>ABS(SUM(C$2:C29))</f>
        <v>25.083330486211704</v>
      </c>
      <c r="E29" s="6">
        <f t="shared" si="1"/>
        <v>0.41666951378829609</v>
      </c>
      <c r="F29" s="3">
        <f t="shared" si="2"/>
        <v>25.5</v>
      </c>
      <c r="G29" s="28">
        <v>0</v>
      </c>
      <c r="H29" s="15">
        <v>23</v>
      </c>
      <c r="I29" s="25">
        <v>7</v>
      </c>
      <c r="J29" s="15">
        <v>21</v>
      </c>
      <c r="K29" s="15">
        <v>3</v>
      </c>
    </row>
    <row r="30" spans="1:11" x14ac:dyDescent="0.2">
      <c r="A30">
        <v>28</v>
      </c>
      <c r="B30" s="31">
        <v>1.4</v>
      </c>
      <c r="C30" s="6">
        <f t="shared" si="0"/>
        <v>-1.6935333902757688</v>
      </c>
      <c r="D30" s="6">
        <f>ABS(SUM(C$2:C30))</f>
        <v>26.776863876487472</v>
      </c>
      <c r="E30" s="6">
        <f t="shared" si="1"/>
        <v>0.22313612351252843</v>
      </c>
      <c r="F30" s="3">
        <f t="shared" si="2"/>
        <v>27</v>
      </c>
      <c r="G30" s="28">
        <v>0</v>
      </c>
      <c r="H30" s="15">
        <v>24</v>
      </c>
      <c r="I30" s="15">
        <v>8</v>
      </c>
      <c r="J30" s="15">
        <v>22</v>
      </c>
      <c r="K30" s="15">
        <v>4</v>
      </c>
    </row>
    <row r="31" spans="1:11" x14ac:dyDescent="0.2">
      <c r="A31">
        <v>29</v>
      </c>
      <c r="B31" s="31">
        <v>1.45</v>
      </c>
      <c r="C31" s="6">
        <f t="shared" si="0"/>
        <v>-1.7380627224702532</v>
      </c>
      <c r="D31" s="6">
        <f>ABS(SUM(C$2:C31))</f>
        <v>28.514926598957725</v>
      </c>
      <c r="E31" s="6">
        <f t="shared" si="1"/>
        <v>0.48507340104227481</v>
      </c>
      <c r="F31" s="3">
        <f t="shared" si="2"/>
        <v>29</v>
      </c>
      <c r="G31" s="28">
        <v>0</v>
      </c>
      <c r="H31" s="15">
        <v>26</v>
      </c>
      <c r="I31" s="15">
        <v>9</v>
      </c>
      <c r="J31" s="15">
        <v>24</v>
      </c>
      <c r="K31" s="15">
        <v>6</v>
      </c>
    </row>
    <row r="32" spans="1:11" x14ac:dyDescent="0.2">
      <c r="A32">
        <v>30</v>
      </c>
      <c r="B32" s="31">
        <v>1.5</v>
      </c>
      <c r="C32" s="6">
        <f t="shared" si="0"/>
        <v>-1.7817014680208481</v>
      </c>
      <c r="D32" s="6">
        <f>ABS(SUM(C$2:C32))</f>
        <v>30.296628066978574</v>
      </c>
      <c r="E32" s="6">
        <f t="shared" si="1"/>
        <v>0.20337193302142609</v>
      </c>
      <c r="F32" s="3">
        <f t="shared" si="2"/>
        <v>30.5</v>
      </c>
      <c r="G32" s="28">
        <v>0</v>
      </c>
      <c r="H32" s="15">
        <v>28</v>
      </c>
      <c r="I32" s="15">
        <v>10</v>
      </c>
      <c r="J32" s="15">
        <v>26</v>
      </c>
      <c r="K32" s="15">
        <v>8</v>
      </c>
    </row>
    <row r="33" spans="1:11" x14ac:dyDescent="0.2">
      <c r="A33">
        <v>31</v>
      </c>
      <c r="B33" s="31">
        <v>1.55</v>
      </c>
      <c r="C33" s="6">
        <f t="shared" si="0"/>
        <v>-1.8244674386604314</v>
      </c>
      <c r="D33" s="6">
        <f>ABS(SUM(C$2:C33))</f>
        <v>32.121095505639005</v>
      </c>
      <c r="E33" s="6">
        <f t="shared" si="1"/>
        <v>0.37890449436099516</v>
      </c>
      <c r="F33" s="3">
        <f t="shared" si="2"/>
        <v>32.5</v>
      </c>
      <c r="G33" s="28">
        <v>0</v>
      </c>
      <c r="H33" s="15">
        <v>30</v>
      </c>
      <c r="I33" s="15">
        <v>11</v>
      </c>
      <c r="J33" s="15">
        <v>28</v>
      </c>
      <c r="K33" s="15">
        <v>10</v>
      </c>
    </row>
    <row r="34" spans="1:11" x14ac:dyDescent="0.2">
      <c r="A34">
        <v>32</v>
      </c>
      <c r="B34" s="31">
        <v>1.6</v>
      </c>
      <c r="C34" s="6">
        <f t="shared" ref="C34:C65" si="3">((0.98 ^ A34) - 1) * 3.92</f>
        <v>-1.8663780898872229</v>
      </c>
      <c r="D34" s="6">
        <f>ABS(SUM(C$2:C34))</f>
        <v>33.987473595526225</v>
      </c>
      <c r="E34" s="6">
        <f t="shared" si="1"/>
        <v>1.2526404473774733E-2</v>
      </c>
      <c r="F34" s="3">
        <f t="shared" si="2"/>
        <v>34</v>
      </c>
      <c r="G34" s="28">
        <v>0</v>
      </c>
      <c r="H34" s="15">
        <v>31</v>
      </c>
      <c r="I34" s="15">
        <v>11</v>
      </c>
      <c r="J34" s="15">
        <v>29</v>
      </c>
      <c r="K34" s="15">
        <v>11</v>
      </c>
    </row>
    <row r="35" spans="1:11" x14ac:dyDescent="0.2">
      <c r="A35">
        <v>33</v>
      </c>
      <c r="B35" s="31">
        <v>1.65</v>
      </c>
      <c r="C35" s="6">
        <f t="shared" si="3"/>
        <v>-1.9074505280894782</v>
      </c>
      <c r="D35" s="6">
        <f>ABS(SUM(C$2:C35))</f>
        <v>35.894924123615702</v>
      </c>
      <c r="E35" s="6">
        <f t="shared" si="1"/>
        <v>0.10507587638429783</v>
      </c>
      <c r="F35" s="3">
        <f t="shared" si="2"/>
        <v>36</v>
      </c>
      <c r="G35" s="28">
        <v>0</v>
      </c>
      <c r="H35" s="15">
        <v>33</v>
      </c>
      <c r="I35" s="15">
        <v>12</v>
      </c>
      <c r="J35" s="15">
        <v>31</v>
      </c>
      <c r="K35" s="15">
        <v>13</v>
      </c>
    </row>
    <row r="36" spans="1:11" x14ac:dyDescent="0.2">
      <c r="A36">
        <v>34</v>
      </c>
      <c r="B36" s="31">
        <v>1.7</v>
      </c>
      <c r="C36" s="6">
        <f t="shared" si="3"/>
        <v>-1.9477015175276886</v>
      </c>
      <c r="D36" s="6">
        <f>ABS(SUM(C$2:C36))</f>
        <v>37.842625641143393</v>
      </c>
      <c r="E36" s="6">
        <f t="shared" si="1"/>
        <v>0.15737435885660744</v>
      </c>
      <c r="F36" s="3">
        <f t="shared" si="2"/>
        <v>38</v>
      </c>
      <c r="G36" s="28">
        <v>0</v>
      </c>
      <c r="H36" s="15">
        <v>35</v>
      </c>
      <c r="I36" s="15">
        <v>13</v>
      </c>
      <c r="J36" s="15">
        <v>33</v>
      </c>
      <c r="K36" s="15">
        <v>15</v>
      </c>
    </row>
    <row r="37" spans="1:11" x14ac:dyDescent="0.2">
      <c r="A37">
        <v>35</v>
      </c>
      <c r="B37" s="31">
        <v>1.75</v>
      </c>
      <c r="C37" s="6">
        <f t="shared" si="3"/>
        <v>-1.9871474871771349</v>
      </c>
      <c r="D37" s="6">
        <f>ABS(SUM(C$2:C37))</f>
        <v>39.829773128320525</v>
      </c>
      <c r="E37" s="6">
        <f t="shared" si="1"/>
        <v>0.17022687167947481</v>
      </c>
      <c r="F37" s="3">
        <f t="shared" si="2"/>
        <v>40</v>
      </c>
      <c r="G37" s="28">
        <v>0</v>
      </c>
      <c r="H37" s="15">
        <v>37</v>
      </c>
      <c r="I37" s="15">
        <v>14</v>
      </c>
      <c r="J37" s="15">
        <v>35</v>
      </c>
      <c r="K37" s="15">
        <v>17</v>
      </c>
    </row>
    <row r="38" spans="1:11" x14ac:dyDescent="0.2">
      <c r="A38">
        <v>36</v>
      </c>
      <c r="B38" s="31">
        <v>1.8</v>
      </c>
      <c r="C38" s="6">
        <f t="shared" si="3"/>
        <v>-2.0258045374335927</v>
      </c>
      <c r="D38" s="6">
        <f>ABS(SUM(C$2:C38))</f>
        <v>41.855577665754119</v>
      </c>
      <c r="E38" s="6">
        <f t="shared" si="1"/>
        <v>0.14442233424588125</v>
      </c>
      <c r="F38" s="3">
        <f t="shared" si="2"/>
        <v>42</v>
      </c>
      <c r="G38" s="28">
        <v>0</v>
      </c>
      <c r="H38" s="15">
        <v>39</v>
      </c>
      <c r="I38" s="15">
        <v>15</v>
      </c>
      <c r="J38" s="15">
        <v>37</v>
      </c>
      <c r="K38" s="15">
        <v>19</v>
      </c>
    </row>
    <row r="39" spans="1:11" x14ac:dyDescent="0.2">
      <c r="A39">
        <v>37</v>
      </c>
      <c r="B39" s="31">
        <v>1.85</v>
      </c>
      <c r="C39" s="6">
        <f t="shared" si="3"/>
        <v>-2.063688446684921</v>
      </c>
      <c r="D39" s="6">
        <f>ABS(SUM(C$2:C39))</f>
        <v>43.91926611243904</v>
      </c>
      <c r="E39" s="6">
        <f t="shared" si="1"/>
        <v>8.0733887560960227E-2</v>
      </c>
      <c r="F39" s="3">
        <f t="shared" si="2"/>
        <v>44</v>
      </c>
      <c r="G39" s="28">
        <v>0</v>
      </c>
      <c r="H39" s="15">
        <v>41</v>
      </c>
      <c r="I39" s="15">
        <v>16</v>
      </c>
      <c r="J39" s="15">
        <v>39</v>
      </c>
      <c r="K39" s="15">
        <v>21</v>
      </c>
    </row>
    <row r="40" spans="1:11" x14ac:dyDescent="0.2">
      <c r="A40">
        <v>38</v>
      </c>
      <c r="B40" s="31">
        <v>1.9</v>
      </c>
      <c r="C40" s="6">
        <f t="shared" si="3"/>
        <v>-2.1008146777512224</v>
      </c>
      <c r="D40" s="6">
        <f>ABS(SUM(C$2:C40))</f>
        <v>46.020080790190264</v>
      </c>
      <c r="E40" s="6">
        <f t="shared" si="1"/>
        <v>0.47991920980973646</v>
      </c>
      <c r="F40" s="3">
        <f t="shared" si="2"/>
        <v>46.5</v>
      </c>
      <c r="G40" s="28">
        <v>0</v>
      </c>
      <c r="H40" s="15">
        <v>44</v>
      </c>
      <c r="I40" s="15">
        <v>18</v>
      </c>
      <c r="J40" s="15">
        <v>42</v>
      </c>
      <c r="K40" s="15">
        <v>24</v>
      </c>
    </row>
    <row r="41" spans="1:11" x14ac:dyDescent="0.2">
      <c r="A41">
        <v>39</v>
      </c>
      <c r="B41" s="31">
        <v>1.95</v>
      </c>
      <c r="C41" s="6">
        <f t="shared" si="3"/>
        <v>-2.1371983841961981</v>
      </c>
      <c r="D41" s="6">
        <f>ABS(SUM(C$2:C41))</f>
        <v>48.15727917438646</v>
      </c>
      <c r="E41" s="6">
        <f t="shared" si="1"/>
        <v>0.34272082561354011</v>
      </c>
      <c r="F41" s="3">
        <f t="shared" si="2"/>
        <v>48.5</v>
      </c>
      <c r="G41" s="28">
        <v>0</v>
      </c>
      <c r="H41" s="15">
        <v>46</v>
      </c>
      <c r="I41" s="15">
        <v>19</v>
      </c>
      <c r="J41" s="15">
        <v>44</v>
      </c>
      <c r="K41" s="15">
        <v>26</v>
      </c>
    </row>
    <row r="42" spans="1:11" x14ac:dyDescent="0.2">
      <c r="A42">
        <v>40</v>
      </c>
      <c r="B42" s="31">
        <v>2</v>
      </c>
      <c r="C42" s="6">
        <f t="shared" si="3"/>
        <v>-2.1728544165122741</v>
      </c>
      <c r="D42" s="6">
        <f>ABS(SUM(C$2:C42))</f>
        <v>50.330133590898733</v>
      </c>
      <c r="E42" s="6">
        <f t="shared" si="1"/>
        <v>0.16986640910126738</v>
      </c>
      <c r="F42" s="3">
        <f t="shared" si="2"/>
        <v>50.5</v>
      </c>
      <c r="G42" s="28">
        <v>0</v>
      </c>
      <c r="H42" s="15">
        <v>48</v>
      </c>
      <c r="I42" s="15">
        <v>20</v>
      </c>
      <c r="J42" s="15">
        <v>46</v>
      </c>
      <c r="K42" s="15">
        <v>28</v>
      </c>
    </row>
    <row r="43" spans="1:11" x14ac:dyDescent="0.2">
      <c r="A43">
        <v>41</v>
      </c>
      <c r="B43" s="31">
        <v>2.0499999999999998</v>
      </c>
      <c r="C43" s="6">
        <f t="shared" si="3"/>
        <v>-2.2077973281820285</v>
      </c>
      <c r="D43" s="6">
        <f>ABS(SUM(C$2:C43))</f>
        <v>52.537930919080765</v>
      </c>
      <c r="E43" s="6">
        <f t="shared" si="1"/>
        <v>0.46206908091923538</v>
      </c>
      <c r="F43" s="3">
        <f t="shared" si="2"/>
        <v>53</v>
      </c>
      <c r="G43" s="28">
        <v>0</v>
      </c>
      <c r="H43" s="15">
        <v>50</v>
      </c>
      <c r="I43" s="15">
        <v>21</v>
      </c>
      <c r="J43" s="15">
        <v>48</v>
      </c>
      <c r="K43" s="15">
        <v>30</v>
      </c>
    </row>
    <row r="44" spans="1:11" x14ac:dyDescent="0.2">
      <c r="A44">
        <v>42</v>
      </c>
      <c r="B44" s="31">
        <v>2.1</v>
      </c>
      <c r="C44" s="6">
        <f t="shared" si="3"/>
        <v>-2.242041381618388</v>
      </c>
      <c r="D44" s="6">
        <f>ABS(SUM(C$2:C44))</f>
        <v>54.77997230069915</v>
      </c>
      <c r="E44" s="6">
        <f t="shared" si="1"/>
        <v>0.22002769930085009</v>
      </c>
      <c r="F44" s="3">
        <f t="shared" si="2"/>
        <v>55</v>
      </c>
      <c r="G44" s="28">
        <v>0</v>
      </c>
      <c r="H44" s="15">
        <v>52</v>
      </c>
      <c r="I44" s="15">
        <v>22</v>
      </c>
      <c r="J44" s="15">
        <v>50</v>
      </c>
      <c r="K44" s="15">
        <v>32</v>
      </c>
    </row>
    <row r="45" spans="1:11" x14ac:dyDescent="0.2">
      <c r="A45">
        <v>43</v>
      </c>
      <c r="B45" s="31">
        <v>2.15</v>
      </c>
      <c r="C45" s="6">
        <f t="shared" si="3"/>
        <v>-2.27560055398602</v>
      </c>
      <c r="D45" s="6">
        <f>ABS(SUM(C$2:C45))</f>
        <v>57.055572854685167</v>
      </c>
      <c r="E45" s="6">
        <f t="shared" si="1"/>
        <v>0.44442714531483318</v>
      </c>
      <c r="F45" s="3">
        <f t="shared" si="2"/>
        <v>57.5</v>
      </c>
      <c r="G45" s="28">
        <v>0</v>
      </c>
      <c r="H45" s="15">
        <v>55</v>
      </c>
      <c r="I45" s="15">
        <v>23</v>
      </c>
      <c r="J45" s="15">
        <v>53</v>
      </c>
      <c r="K45" s="15">
        <v>35</v>
      </c>
    </row>
    <row r="46" spans="1:11" x14ac:dyDescent="0.2">
      <c r="A46">
        <v>44</v>
      </c>
      <c r="B46" s="31">
        <v>2.2000000000000002</v>
      </c>
      <c r="C46" s="6">
        <f t="shared" si="3"/>
        <v>-2.3084885429063</v>
      </c>
      <c r="D46" s="6">
        <f>ABS(SUM(C$2:C46))</f>
        <v>59.36406139759147</v>
      </c>
      <c r="E46" s="6">
        <f t="shared" si="1"/>
        <v>0.13593860240852962</v>
      </c>
      <c r="F46" s="3">
        <f t="shared" si="2"/>
        <v>59.5</v>
      </c>
      <c r="G46" s="28">
        <v>0</v>
      </c>
      <c r="H46" s="15">
        <v>57</v>
      </c>
      <c r="I46" s="15">
        <v>24</v>
      </c>
      <c r="J46" s="15">
        <v>55</v>
      </c>
      <c r="K46" s="15">
        <v>37</v>
      </c>
    </row>
    <row r="47" spans="1:11" x14ac:dyDescent="0.2">
      <c r="A47">
        <v>45</v>
      </c>
      <c r="B47" s="31">
        <v>2.25</v>
      </c>
      <c r="C47" s="6">
        <f t="shared" si="3"/>
        <v>-2.3407187720481741</v>
      </c>
      <c r="D47" s="6">
        <f>ABS(SUM(C$2:C47))</f>
        <v>61.704780169639648</v>
      </c>
      <c r="E47" s="6">
        <f t="shared" si="1"/>
        <v>0.29521983036035238</v>
      </c>
      <c r="F47" s="3">
        <f t="shared" si="2"/>
        <v>62</v>
      </c>
      <c r="G47" s="28">
        <v>0</v>
      </c>
      <c r="H47" s="15">
        <v>59</v>
      </c>
      <c r="I47" s="15">
        <v>25</v>
      </c>
      <c r="J47" s="15">
        <v>57</v>
      </c>
      <c r="K47" s="15">
        <v>39</v>
      </c>
    </row>
    <row r="48" spans="1:11" x14ac:dyDescent="0.2">
      <c r="A48">
        <v>46</v>
      </c>
      <c r="B48" s="31">
        <v>2.2999999999999998</v>
      </c>
      <c r="C48" s="6">
        <f t="shared" si="3"/>
        <v>-2.3723043966072108</v>
      </c>
      <c r="D48" s="6">
        <f>ABS(SUM(C$2:C48))</f>
        <v>64.077084566246853</v>
      </c>
      <c r="E48" s="6">
        <f t="shared" si="1"/>
        <v>0.42291543375314689</v>
      </c>
      <c r="F48" s="3">
        <f t="shared" si="2"/>
        <v>64.5</v>
      </c>
      <c r="G48" s="28">
        <v>0</v>
      </c>
      <c r="H48" s="15">
        <v>62</v>
      </c>
      <c r="I48" s="15">
        <v>27</v>
      </c>
      <c r="J48" s="15">
        <v>60</v>
      </c>
      <c r="K48" s="15">
        <v>42</v>
      </c>
    </row>
    <row r="49" spans="1:15" x14ac:dyDescent="0.2">
      <c r="A49">
        <v>47</v>
      </c>
      <c r="B49" s="31">
        <v>2.35</v>
      </c>
      <c r="C49" s="6">
        <f t="shared" si="3"/>
        <v>-2.4032583086750665</v>
      </c>
      <c r="D49" s="6">
        <f>ABS(SUM(C$2:C49))</f>
        <v>66.480342874921917</v>
      </c>
      <c r="E49" s="6">
        <f t="shared" si="1"/>
        <v>1.9657125078083482E-2</v>
      </c>
      <c r="F49" s="3">
        <f t="shared" si="2"/>
        <v>66.5</v>
      </c>
      <c r="G49" s="28">
        <v>0</v>
      </c>
      <c r="H49" s="15">
        <v>64</v>
      </c>
      <c r="I49" s="15">
        <v>28</v>
      </c>
      <c r="J49" s="15">
        <v>62</v>
      </c>
      <c r="K49" s="15">
        <v>44</v>
      </c>
    </row>
    <row r="50" spans="1:15" x14ac:dyDescent="0.2">
      <c r="A50">
        <v>48</v>
      </c>
      <c r="B50" s="31">
        <v>2.4</v>
      </c>
      <c r="C50" s="6">
        <f t="shared" si="3"/>
        <v>-2.4335931425015653</v>
      </c>
      <c r="D50" s="6">
        <f>ABS(SUM(C$2:C50))</f>
        <v>68.913936017423481</v>
      </c>
      <c r="E50" s="6">
        <f t="shared" si="1"/>
        <v>8.6063982576519038E-2</v>
      </c>
      <c r="F50" s="3">
        <f t="shared" si="2"/>
        <v>69</v>
      </c>
      <c r="G50" s="28">
        <v>0</v>
      </c>
      <c r="H50" s="15">
        <v>66</v>
      </c>
      <c r="I50" s="15">
        <v>29</v>
      </c>
      <c r="J50" s="15">
        <v>64</v>
      </c>
      <c r="K50" s="15">
        <v>46</v>
      </c>
      <c r="L50" s="3"/>
      <c r="M50" s="15"/>
      <c r="O50" s="15"/>
    </row>
    <row r="51" spans="1:15" x14ac:dyDescent="0.2">
      <c r="A51">
        <v>49</v>
      </c>
      <c r="B51" s="31">
        <v>2.4500000000000002</v>
      </c>
      <c r="C51" s="6">
        <f t="shared" si="3"/>
        <v>-2.463321279651534</v>
      </c>
      <c r="D51" s="6">
        <f>ABS(SUM(C$2:C51))</f>
        <v>71.377257297075019</v>
      </c>
      <c r="E51" s="6">
        <f t="shared" si="1"/>
        <v>0.12274270292498102</v>
      </c>
      <c r="F51" s="3">
        <f t="shared" si="2"/>
        <v>71.5</v>
      </c>
      <c r="G51" s="28">
        <v>0</v>
      </c>
      <c r="H51" s="15">
        <v>69</v>
      </c>
      <c r="I51" s="15">
        <v>30</v>
      </c>
      <c r="J51" s="15">
        <v>67</v>
      </c>
      <c r="K51" s="15">
        <v>49</v>
      </c>
      <c r="L51" s="3"/>
    </row>
    <row r="52" spans="1:15" x14ac:dyDescent="0.2">
      <c r="A52">
        <v>50</v>
      </c>
      <c r="B52" s="31">
        <v>2.5</v>
      </c>
      <c r="C52" s="6">
        <f t="shared" si="3"/>
        <v>-2.4924548540585034</v>
      </c>
      <c r="D52" s="6">
        <f>ABS(SUM(C$2:C52))</f>
        <v>73.869712151133527</v>
      </c>
      <c r="E52" s="6">
        <f t="shared" si="1"/>
        <v>0.13028784886647315</v>
      </c>
      <c r="F52" s="3">
        <f t="shared" si="2"/>
        <v>74</v>
      </c>
      <c r="G52" s="28">
        <v>0</v>
      </c>
      <c r="H52" s="15">
        <v>71</v>
      </c>
      <c r="I52" s="15">
        <v>31</v>
      </c>
      <c r="J52" s="15">
        <v>69</v>
      </c>
      <c r="K52" s="15">
        <v>51</v>
      </c>
      <c r="L52" s="3"/>
    </row>
    <row r="53" spans="1:15" x14ac:dyDescent="0.2">
      <c r="A53">
        <v>51</v>
      </c>
      <c r="B53" s="31">
        <v>2.5499999999999998</v>
      </c>
      <c r="C53" s="6">
        <f t="shared" si="3"/>
        <v>-2.5210057569773334</v>
      </c>
      <c r="D53" s="6">
        <f>ABS(SUM(C$2:C53))</f>
        <v>76.390717908110858</v>
      </c>
      <c r="E53" s="6">
        <f t="shared" si="1"/>
        <v>0.10928209188914195</v>
      </c>
      <c r="F53" s="3">
        <f t="shared" si="2"/>
        <v>76.5</v>
      </c>
      <c r="G53" s="28">
        <v>0</v>
      </c>
      <c r="H53" s="15">
        <v>74</v>
      </c>
      <c r="I53" s="15">
        <v>33</v>
      </c>
      <c r="J53" s="15">
        <v>72</v>
      </c>
      <c r="K53" s="15">
        <v>54</v>
      </c>
      <c r="L53" s="3"/>
    </row>
    <row r="54" spans="1:15" x14ac:dyDescent="0.2">
      <c r="A54">
        <v>52</v>
      </c>
      <c r="B54" s="31">
        <v>2.6</v>
      </c>
      <c r="C54" s="6">
        <f t="shared" si="3"/>
        <v>-2.5489856418377865</v>
      </c>
      <c r="D54" s="6">
        <f>ABS(SUM(C$2:C54))</f>
        <v>78.939703549948646</v>
      </c>
      <c r="E54" s="6">
        <f t="shared" si="1"/>
        <v>6.0296450051353645E-2</v>
      </c>
      <c r="F54" s="3">
        <f t="shared" si="2"/>
        <v>79</v>
      </c>
      <c r="G54" s="28">
        <v>0</v>
      </c>
      <c r="H54" s="15">
        <v>76</v>
      </c>
      <c r="I54" s="15">
        <v>34</v>
      </c>
      <c r="J54" s="15">
        <v>74</v>
      </c>
      <c r="K54" s="15">
        <v>56</v>
      </c>
    </row>
    <row r="55" spans="1:15" x14ac:dyDescent="0.2">
      <c r="A55">
        <v>53</v>
      </c>
      <c r="B55" s="31">
        <v>2.65</v>
      </c>
      <c r="C55" s="6">
        <f t="shared" si="3"/>
        <v>-2.5764059290010306</v>
      </c>
      <c r="D55" s="6">
        <f>ABS(SUM(C$2:C55))</f>
        <v>81.516109478949673</v>
      </c>
      <c r="E55" s="6">
        <f t="shared" si="1"/>
        <v>0.48389052105032704</v>
      </c>
      <c r="F55" s="3">
        <f t="shared" si="2"/>
        <v>82</v>
      </c>
      <c r="G55" s="28">
        <v>0</v>
      </c>
      <c r="H55" s="15">
        <v>79</v>
      </c>
      <c r="I55" s="15">
        <v>35</v>
      </c>
      <c r="J55" s="15">
        <v>77</v>
      </c>
      <c r="K55" s="15">
        <v>59</v>
      </c>
    </row>
    <row r="56" spans="1:15" x14ac:dyDescent="0.2">
      <c r="A56">
        <v>54</v>
      </c>
      <c r="B56" s="31">
        <v>2.7</v>
      </c>
      <c r="C56" s="6">
        <f t="shared" si="3"/>
        <v>-2.6032778104210106</v>
      </c>
      <c r="D56" s="6">
        <f>ABS(SUM(C$2:C56))</f>
        <v>84.119387289370678</v>
      </c>
      <c r="E56" s="6">
        <f t="shared" si="1"/>
        <v>0.38061271062932178</v>
      </c>
      <c r="F56" s="3">
        <f t="shared" si="2"/>
        <v>84.5</v>
      </c>
      <c r="G56" s="28">
        <v>0</v>
      </c>
      <c r="H56" s="15">
        <v>82</v>
      </c>
      <c r="I56" s="15">
        <v>37</v>
      </c>
      <c r="J56" s="15">
        <v>80</v>
      </c>
      <c r="K56" s="15">
        <v>62</v>
      </c>
    </row>
    <row r="57" spans="1:15" x14ac:dyDescent="0.2">
      <c r="A57">
        <v>55</v>
      </c>
      <c r="B57" s="31">
        <v>2.75</v>
      </c>
      <c r="C57" s="6">
        <f t="shared" si="3"/>
        <v>-2.6296122542125904</v>
      </c>
      <c r="D57" s="6">
        <f>ABS(SUM(C$2:C57))</f>
        <v>86.748999543583267</v>
      </c>
      <c r="E57" s="6">
        <f t="shared" si="1"/>
        <v>0.25100045641673319</v>
      </c>
      <c r="F57" s="3">
        <f t="shared" si="2"/>
        <v>87</v>
      </c>
      <c r="G57" s="28">
        <v>0</v>
      </c>
      <c r="H57" s="15">
        <v>84</v>
      </c>
      <c r="I57" s="15">
        <v>38</v>
      </c>
      <c r="J57" s="15">
        <v>82</v>
      </c>
      <c r="K57" s="15">
        <v>64</v>
      </c>
    </row>
    <row r="58" spans="1:15" x14ac:dyDescent="0.2">
      <c r="A58">
        <v>56</v>
      </c>
      <c r="B58" s="31">
        <v>2.8</v>
      </c>
      <c r="C58" s="6">
        <f t="shared" si="3"/>
        <v>-2.6554200091283384</v>
      </c>
      <c r="D58" s="6">
        <f>ABS(SUM(C$2:C58))</f>
        <v>89.404419552711602</v>
      </c>
      <c r="E58" s="6">
        <f t="shared" si="1"/>
        <v>9.5580447288398318E-2</v>
      </c>
      <c r="F58" s="3">
        <f t="shared" si="2"/>
        <v>89.5</v>
      </c>
      <c r="G58" s="28">
        <v>0</v>
      </c>
      <c r="H58" s="15">
        <v>87</v>
      </c>
      <c r="I58" s="15">
        <v>39</v>
      </c>
      <c r="J58" s="15">
        <v>85</v>
      </c>
      <c r="K58" s="15">
        <v>67</v>
      </c>
    </row>
    <row r="59" spans="1:15" x14ac:dyDescent="0.2">
      <c r="A59">
        <v>57</v>
      </c>
      <c r="B59" s="31">
        <v>2.85</v>
      </c>
      <c r="C59" s="6">
        <f t="shared" si="3"/>
        <v>-2.6807116089457717</v>
      </c>
      <c r="D59" s="6">
        <f>ABS(SUM(C$2:C59))</f>
        <v>92.085131161657372</v>
      </c>
      <c r="E59" s="6">
        <f t="shared" si="1"/>
        <v>0.41486883834262755</v>
      </c>
      <c r="F59" s="3">
        <f t="shared" si="2"/>
        <v>92.5</v>
      </c>
      <c r="G59" s="28">
        <v>0</v>
      </c>
      <c r="H59" s="15">
        <v>90</v>
      </c>
      <c r="I59" s="15">
        <v>41</v>
      </c>
      <c r="J59" s="15">
        <v>88</v>
      </c>
      <c r="K59" s="15">
        <v>70</v>
      </c>
    </row>
    <row r="60" spans="1:15" x14ac:dyDescent="0.2">
      <c r="A60">
        <v>58</v>
      </c>
      <c r="B60" s="31">
        <v>2.9</v>
      </c>
      <c r="C60" s="6">
        <f t="shared" si="3"/>
        <v>-2.7054973767668562</v>
      </c>
      <c r="D60" s="6">
        <f>ABS(SUM(C$2:C60))</f>
        <v>94.79062853842423</v>
      </c>
      <c r="E60" s="6">
        <f t="shared" si="1"/>
        <v>0.20937146157577047</v>
      </c>
      <c r="F60" s="3">
        <f t="shared" si="2"/>
        <v>95</v>
      </c>
      <c r="G60" s="28">
        <v>0</v>
      </c>
      <c r="H60" s="15">
        <v>92</v>
      </c>
      <c r="I60" s="15">
        <v>42</v>
      </c>
      <c r="J60" s="15">
        <v>90</v>
      </c>
      <c r="K60" s="15">
        <v>72</v>
      </c>
    </row>
    <row r="61" spans="1:15" x14ac:dyDescent="0.2">
      <c r="A61">
        <v>59</v>
      </c>
      <c r="B61" s="31">
        <v>2.95</v>
      </c>
      <c r="C61" s="6">
        <f t="shared" si="3"/>
        <v>-2.7297874292315192</v>
      </c>
      <c r="D61" s="6">
        <f>ABS(SUM(C$2:C61))</f>
        <v>97.520415967655751</v>
      </c>
      <c r="E61" s="6">
        <f t="shared" si="1"/>
        <v>0.47958403234424907</v>
      </c>
      <c r="F61" s="3">
        <f t="shared" si="2"/>
        <v>98</v>
      </c>
      <c r="G61" s="28">
        <v>0</v>
      </c>
      <c r="H61" s="15">
        <v>95</v>
      </c>
      <c r="I61" s="15">
        <v>43</v>
      </c>
      <c r="J61" s="15">
        <v>93</v>
      </c>
      <c r="K61" s="15">
        <v>75</v>
      </c>
    </row>
    <row r="62" spans="1:15" x14ac:dyDescent="0.2">
      <c r="A62">
        <v>60</v>
      </c>
      <c r="B62" s="31">
        <v>3</v>
      </c>
      <c r="C62" s="6">
        <f t="shared" si="3"/>
        <v>-2.7535916806468892</v>
      </c>
      <c r="D62" s="6">
        <f>ABS(SUM(C$2:C62))</f>
        <v>100.27400764830264</v>
      </c>
      <c r="E62" s="6">
        <f t="shared" si="1"/>
        <v>0.22599235169735721</v>
      </c>
      <c r="F62" s="3">
        <f t="shared" si="2"/>
        <v>100.5</v>
      </c>
      <c r="G62" s="28">
        <v>0</v>
      </c>
      <c r="H62" s="15">
        <v>98</v>
      </c>
      <c r="I62" s="15">
        <v>45</v>
      </c>
      <c r="J62" s="15">
        <v>96</v>
      </c>
      <c r="K62" s="15">
        <v>78</v>
      </c>
    </row>
    <row r="63" spans="1:15" x14ac:dyDescent="0.2">
      <c r="A63">
        <v>61</v>
      </c>
      <c r="B63" s="31">
        <v>3.05</v>
      </c>
      <c r="C63" s="6">
        <f t="shared" si="3"/>
        <v>-2.7769198470339513</v>
      </c>
      <c r="D63" s="6">
        <f>ABS(SUM(C$2:C63))</f>
        <v>103.05092749533659</v>
      </c>
      <c r="E63" s="6">
        <f t="shared" si="1"/>
        <v>0.44907250466340543</v>
      </c>
      <c r="F63" s="3">
        <f t="shared" si="2"/>
        <v>103.5</v>
      </c>
      <c r="G63" s="28">
        <v>0</v>
      </c>
      <c r="H63" s="15">
        <v>101</v>
      </c>
      <c r="I63" s="15">
        <v>46</v>
      </c>
      <c r="J63" s="15">
        <v>99</v>
      </c>
      <c r="K63" s="15">
        <v>81</v>
      </c>
    </row>
    <row r="64" spans="1:15" x14ac:dyDescent="0.2">
      <c r="A64">
        <v>62</v>
      </c>
      <c r="B64" s="31">
        <v>3.1</v>
      </c>
      <c r="C64" s="6">
        <f t="shared" si="3"/>
        <v>-2.7997814500932718</v>
      </c>
      <c r="D64" s="6">
        <f>ABS(SUM(C$2:C64))</f>
        <v>105.85070894542987</v>
      </c>
      <c r="E64" s="6">
        <f t="shared" si="1"/>
        <v>0.14929105457012781</v>
      </c>
      <c r="F64" s="3">
        <f t="shared" si="2"/>
        <v>106</v>
      </c>
      <c r="G64" s="28">
        <v>0</v>
      </c>
      <c r="H64" s="15">
        <v>103</v>
      </c>
      <c r="I64" s="15">
        <v>47</v>
      </c>
      <c r="J64" s="15">
        <v>101</v>
      </c>
      <c r="K64" s="15">
        <v>83</v>
      </c>
    </row>
    <row r="65" spans="1:11" x14ac:dyDescent="0.2">
      <c r="A65">
        <v>63</v>
      </c>
      <c r="B65" s="31">
        <v>3.15</v>
      </c>
      <c r="C65" s="6">
        <f t="shared" si="3"/>
        <v>-2.822185821091407</v>
      </c>
      <c r="D65" s="6">
        <f>ABS(SUM(C$2:C65))</f>
        <v>108.67289476652128</v>
      </c>
      <c r="E65" s="6">
        <f t="shared" si="1"/>
        <v>0.32710523347871856</v>
      </c>
      <c r="F65" s="3">
        <f t="shared" si="2"/>
        <v>109</v>
      </c>
      <c r="G65" s="28">
        <v>0</v>
      </c>
      <c r="H65" s="15">
        <v>106</v>
      </c>
      <c r="I65" s="15">
        <v>49</v>
      </c>
      <c r="J65" s="15">
        <v>104</v>
      </c>
      <c r="K65" s="15">
        <v>86</v>
      </c>
    </row>
    <row r="66" spans="1:11" x14ac:dyDescent="0.2">
      <c r="A66">
        <v>64</v>
      </c>
      <c r="B66" s="31">
        <v>3.2</v>
      </c>
      <c r="C66" s="6">
        <f t="shared" ref="C66:C97" si="4">((0.98 ^ A66) - 1) * 3.92</f>
        <v>-2.8441421046695785</v>
      </c>
      <c r="D66" s="6">
        <f>ABS(SUM(C$2:C66))</f>
        <v>111.51703687119085</v>
      </c>
      <c r="E66" s="6">
        <f t="shared" si="1"/>
        <v>0.48296312880914627</v>
      </c>
      <c r="F66" s="3">
        <f t="shared" si="2"/>
        <v>112</v>
      </c>
      <c r="G66" s="28">
        <v>0</v>
      </c>
      <c r="H66" s="15">
        <v>109</v>
      </c>
      <c r="I66" s="15">
        <v>50</v>
      </c>
      <c r="J66" s="15">
        <v>107</v>
      </c>
      <c r="K66" s="15">
        <v>89</v>
      </c>
    </row>
    <row r="67" spans="1:11" x14ac:dyDescent="0.2">
      <c r="A67">
        <v>65</v>
      </c>
      <c r="B67" s="31">
        <v>3.25</v>
      </c>
      <c r="C67" s="6">
        <f t="shared" si="4"/>
        <v>-2.865659262576187</v>
      </c>
      <c r="D67" s="6">
        <f>ABS(SUM(C$2:C67))</f>
        <v>114.38269613376704</v>
      </c>
      <c r="E67" s="6">
        <f t="shared" ref="E67:E130" si="5">_xlfn.CEILING.MATH(D67, 0.5)-D67</f>
        <v>0.11730386623295885</v>
      </c>
      <c r="F67" s="3">
        <f t="shared" ref="F67:F130" si="6">_xlfn.CEILING.MATH(D67, 0.5)</f>
        <v>114.5</v>
      </c>
      <c r="G67" s="28">
        <v>0</v>
      </c>
      <c r="H67" s="15">
        <v>112</v>
      </c>
      <c r="I67" s="15">
        <v>52</v>
      </c>
      <c r="J67" s="15">
        <v>110</v>
      </c>
      <c r="K67" s="15">
        <v>92</v>
      </c>
    </row>
    <row r="68" spans="1:11" x14ac:dyDescent="0.2">
      <c r="A68">
        <v>66</v>
      </c>
      <c r="B68" s="31">
        <v>3.3</v>
      </c>
      <c r="C68" s="6">
        <f t="shared" si="4"/>
        <v>-2.8867460773246636</v>
      </c>
      <c r="D68" s="6">
        <f>ABS(SUM(C$2:C68))</f>
        <v>117.2694422110917</v>
      </c>
      <c r="E68" s="6">
        <f t="shared" si="5"/>
        <v>0.2305577889082997</v>
      </c>
      <c r="F68" s="3">
        <f t="shared" si="6"/>
        <v>117.5</v>
      </c>
      <c r="G68" s="28">
        <v>0</v>
      </c>
      <c r="H68" s="15">
        <v>115</v>
      </c>
      <c r="I68" s="15">
        <v>53</v>
      </c>
      <c r="J68" s="15">
        <v>113</v>
      </c>
      <c r="K68" s="15">
        <v>95</v>
      </c>
    </row>
    <row r="69" spans="1:11" x14ac:dyDescent="0.2">
      <c r="A69">
        <v>67</v>
      </c>
      <c r="B69" s="31">
        <v>3.35</v>
      </c>
      <c r="C69" s="6">
        <f t="shared" si="4"/>
        <v>-2.9074111557781706</v>
      </c>
      <c r="D69" s="6">
        <f>ABS(SUM(C$2:C69))</f>
        <v>120.17685336686986</v>
      </c>
      <c r="E69" s="6">
        <f t="shared" si="5"/>
        <v>0.32314663313013625</v>
      </c>
      <c r="F69" s="3">
        <f t="shared" si="6"/>
        <v>120.5</v>
      </c>
      <c r="G69" s="28">
        <v>0</v>
      </c>
      <c r="H69" s="15">
        <v>118</v>
      </c>
      <c r="I69" s="15">
        <v>55</v>
      </c>
      <c r="J69" s="15">
        <v>116</v>
      </c>
      <c r="K69" s="15">
        <v>98</v>
      </c>
    </row>
    <row r="70" spans="1:11" x14ac:dyDescent="0.2">
      <c r="A70">
        <v>68</v>
      </c>
      <c r="B70" s="31">
        <v>3.4</v>
      </c>
      <c r="C70" s="6">
        <f t="shared" si="4"/>
        <v>-2.9276629326626069</v>
      </c>
      <c r="D70" s="6">
        <f>ABS(SUM(C$2:C70))</f>
        <v>123.10451629953248</v>
      </c>
      <c r="E70" s="6">
        <f t="shared" si="5"/>
        <v>0.39548370046752268</v>
      </c>
      <c r="F70" s="3">
        <f t="shared" si="6"/>
        <v>123.5</v>
      </c>
      <c r="G70" s="28">
        <v>0</v>
      </c>
      <c r="H70" s="15">
        <v>121</v>
      </c>
      <c r="I70" s="15">
        <v>56</v>
      </c>
      <c r="J70" s="15">
        <v>119</v>
      </c>
      <c r="K70" s="15">
        <v>101</v>
      </c>
    </row>
    <row r="71" spans="1:11" x14ac:dyDescent="0.2">
      <c r="A71">
        <v>69</v>
      </c>
      <c r="B71" s="31">
        <v>3.45</v>
      </c>
      <c r="C71" s="6">
        <f t="shared" si="4"/>
        <v>-2.9475096740093547</v>
      </c>
      <c r="D71" s="6">
        <f>ABS(SUM(C$2:C71))</f>
        <v>126.05202597354183</v>
      </c>
      <c r="E71" s="6">
        <f t="shared" si="5"/>
        <v>0.44797402645816931</v>
      </c>
      <c r="F71" s="3">
        <f t="shared" si="6"/>
        <v>126.5</v>
      </c>
      <c r="G71" s="28">
        <v>0</v>
      </c>
      <c r="H71" s="15">
        <v>124</v>
      </c>
      <c r="I71" s="15">
        <v>58</v>
      </c>
      <c r="J71" s="15">
        <v>122</v>
      </c>
      <c r="K71" s="15">
        <v>104</v>
      </c>
    </row>
    <row r="72" spans="1:11" x14ac:dyDescent="0.2">
      <c r="A72">
        <v>70</v>
      </c>
      <c r="B72" s="31">
        <v>3.5</v>
      </c>
      <c r="C72" s="6">
        <f t="shared" si="4"/>
        <v>-2.9669594805291677</v>
      </c>
      <c r="D72" s="6">
        <f>ABS(SUM(C$2:C72))</f>
        <v>129.01898545407099</v>
      </c>
      <c r="E72" s="6">
        <f t="shared" si="5"/>
        <v>0.48101454592901405</v>
      </c>
      <c r="F72" s="3">
        <f t="shared" si="6"/>
        <v>129.5</v>
      </c>
      <c r="G72" s="28">
        <v>0</v>
      </c>
      <c r="H72" s="15">
        <v>127</v>
      </c>
      <c r="I72" s="15">
        <v>59</v>
      </c>
      <c r="J72" s="15">
        <v>125</v>
      </c>
      <c r="K72" s="15">
        <v>107</v>
      </c>
    </row>
    <row r="73" spans="1:11" x14ac:dyDescent="0.2">
      <c r="A73">
        <v>71</v>
      </c>
      <c r="B73" s="31">
        <v>3.55</v>
      </c>
      <c r="C73" s="6">
        <f t="shared" si="4"/>
        <v>-2.9860202909185842</v>
      </c>
      <c r="D73" s="6">
        <f>ABS(SUM(C$2:C73))</f>
        <v>132.00500574498957</v>
      </c>
      <c r="E73" s="6">
        <f t="shared" si="5"/>
        <v>0.49499425501042538</v>
      </c>
      <c r="F73" s="3">
        <f t="shared" si="6"/>
        <v>132.5</v>
      </c>
      <c r="G73" s="28">
        <v>0</v>
      </c>
      <c r="H73" s="15">
        <v>130</v>
      </c>
      <c r="I73" s="15">
        <v>61</v>
      </c>
      <c r="J73" s="15">
        <v>128</v>
      </c>
      <c r="K73" s="15">
        <v>110</v>
      </c>
    </row>
    <row r="74" spans="1:11" x14ac:dyDescent="0.2">
      <c r="A74">
        <v>72</v>
      </c>
      <c r="B74" s="31">
        <v>3.6</v>
      </c>
      <c r="C74" s="6">
        <f t="shared" si="4"/>
        <v>-3.0046998851002127</v>
      </c>
      <c r="D74" s="6">
        <f>ABS(SUM(C$2:C74))</f>
        <v>135.0097056300898</v>
      </c>
      <c r="E74" s="6">
        <f t="shared" si="5"/>
        <v>0.49029436991020248</v>
      </c>
      <c r="F74" s="3">
        <f t="shared" si="6"/>
        <v>135.5</v>
      </c>
      <c r="G74" s="28">
        <v>0</v>
      </c>
      <c r="H74" s="15">
        <v>133</v>
      </c>
      <c r="I74" s="15">
        <v>62</v>
      </c>
      <c r="J74" s="15">
        <v>131</v>
      </c>
      <c r="K74" s="15">
        <v>113</v>
      </c>
    </row>
    <row r="75" spans="1:11" x14ac:dyDescent="0.2">
      <c r="A75">
        <v>73</v>
      </c>
      <c r="B75" s="31">
        <v>3.65</v>
      </c>
      <c r="C75" s="6">
        <f t="shared" si="4"/>
        <v>-3.0230058873982086</v>
      </c>
      <c r="D75" s="6">
        <f>ABS(SUM(C$2:C75))</f>
        <v>138.032711517488</v>
      </c>
      <c r="E75" s="6">
        <f t="shared" si="5"/>
        <v>0.46728848251200361</v>
      </c>
      <c r="F75" s="3">
        <f t="shared" si="6"/>
        <v>138.5</v>
      </c>
      <c r="G75" s="28">
        <v>0</v>
      </c>
      <c r="H75" s="15">
        <v>136</v>
      </c>
      <c r="I75" s="15">
        <v>64</v>
      </c>
      <c r="J75" s="15">
        <v>134</v>
      </c>
      <c r="K75" s="15">
        <v>116</v>
      </c>
    </row>
    <row r="76" spans="1:11" x14ac:dyDescent="0.2">
      <c r="A76">
        <v>74</v>
      </c>
      <c r="B76" s="31">
        <v>3.7</v>
      </c>
      <c r="C76" s="6">
        <f t="shared" si="4"/>
        <v>-3.0409457696502447</v>
      </c>
      <c r="D76" s="6">
        <f>ABS(SUM(C$2:C76))</f>
        <v>141.07365728713825</v>
      </c>
      <c r="E76" s="6">
        <f t="shared" si="5"/>
        <v>0.42634271286175363</v>
      </c>
      <c r="F76" s="3">
        <f t="shared" si="6"/>
        <v>141.5</v>
      </c>
      <c r="G76" s="28">
        <v>0</v>
      </c>
      <c r="H76" s="15">
        <v>139</v>
      </c>
      <c r="I76" s="15">
        <v>65</v>
      </c>
      <c r="J76" s="15">
        <v>137</v>
      </c>
      <c r="K76" s="15">
        <v>119</v>
      </c>
    </row>
    <row r="77" spans="1:11" x14ac:dyDescent="0.2">
      <c r="A77">
        <v>75</v>
      </c>
      <c r="B77" s="31">
        <v>3.75</v>
      </c>
      <c r="C77" s="6">
        <f t="shared" si="4"/>
        <v>-3.0585268542572392</v>
      </c>
      <c r="D77" s="6">
        <f>ABS(SUM(C$2:C77))</f>
        <v>144.1321841413955</v>
      </c>
      <c r="E77" s="6">
        <f t="shared" si="5"/>
        <v>0.3678158586045015</v>
      </c>
      <c r="F77" s="3">
        <f t="shared" si="6"/>
        <v>144.5</v>
      </c>
      <c r="G77" s="28">
        <v>0</v>
      </c>
      <c r="H77" s="15">
        <v>142</v>
      </c>
      <c r="I77" s="15">
        <v>67</v>
      </c>
      <c r="J77" s="15">
        <v>140</v>
      </c>
      <c r="K77" s="15">
        <v>122</v>
      </c>
    </row>
    <row r="78" spans="1:11" x14ac:dyDescent="0.2">
      <c r="A78">
        <v>76</v>
      </c>
      <c r="B78" s="31">
        <v>3.8</v>
      </c>
      <c r="C78" s="6">
        <f t="shared" si="4"/>
        <v>-3.075756317172095</v>
      </c>
      <c r="D78" s="6">
        <f>ABS(SUM(C$2:C78))</f>
        <v>147.20794045856761</v>
      </c>
      <c r="E78" s="6">
        <f t="shared" si="5"/>
        <v>0.2920595414323941</v>
      </c>
      <c r="F78" s="3">
        <f t="shared" si="6"/>
        <v>147.5</v>
      </c>
      <c r="G78" s="28">
        <v>0</v>
      </c>
      <c r="H78" s="15">
        <v>145</v>
      </c>
      <c r="I78" s="15">
        <v>68</v>
      </c>
      <c r="J78" s="15">
        <v>143</v>
      </c>
      <c r="K78" s="15">
        <v>125</v>
      </c>
    </row>
    <row r="79" spans="1:11" x14ac:dyDescent="0.2">
      <c r="A79">
        <v>77</v>
      </c>
      <c r="B79" s="31">
        <v>3.85</v>
      </c>
      <c r="C79" s="6">
        <f t="shared" si="4"/>
        <v>-3.0926411908286533</v>
      </c>
      <c r="D79" s="6">
        <f>ABS(SUM(C$2:C79))</f>
        <v>150.30058164939626</v>
      </c>
      <c r="E79" s="6">
        <f t="shared" si="5"/>
        <v>0.19941835060373592</v>
      </c>
      <c r="F79" s="3">
        <f t="shared" si="6"/>
        <v>150.5</v>
      </c>
      <c r="G79" s="28">
        <v>0</v>
      </c>
      <c r="H79" s="15">
        <v>148</v>
      </c>
      <c r="I79" s="15">
        <v>70</v>
      </c>
      <c r="J79" s="15">
        <v>146</v>
      </c>
      <c r="K79" s="15">
        <v>128</v>
      </c>
    </row>
    <row r="80" spans="1:11" x14ac:dyDescent="0.2">
      <c r="A80">
        <v>78</v>
      </c>
      <c r="B80" s="31">
        <v>3.9</v>
      </c>
      <c r="C80" s="6">
        <f t="shared" si="4"/>
        <v>-3.1091883670120799</v>
      </c>
      <c r="D80" s="6">
        <f>ABS(SUM(C$2:C80))</f>
        <v>153.40977001640834</v>
      </c>
      <c r="E80" s="6">
        <f t="shared" si="5"/>
        <v>9.0229983591655127E-2</v>
      </c>
      <c r="F80" s="3">
        <f t="shared" si="6"/>
        <v>153.5</v>
      </c>
      <c r="G80" s="28">
        <v>0</v>
      </c>
      <c r="H80" s="15">
        <v>151</v>
      </c>
      <c r="I80" s="15">
        <v>71</v>
      </c>
      <c r="J80" s="15">
        <v>149</v>
      </c>
      <c r="K80" s="15">
        <v>131</v>
      </c>
    </row>
    <row r="81" spans="1:11" x14ac:dyDescent="0.2">
      <c r="A81">
        <v>79</v>
      </c>
      <c r="B81" s="31">
        <v>3.95</v>
      </c>
      <c r="C81" s="6">
        <f t="shared" si="4"/>
        <v>-3.1254045996718385</v>
      </c>
      <c r="D81" s="6">
        <f>ABS(SUM(C$2:C81))</f>
        <v>156.53517461608018</v>
      </c>
      <c r="E81" s="6">
        <f t="shared" si="5"/>
        <v>0.4648253839198162</v>
      </c>
      <c r="F81" s="3">
        <f t="shared" si="6"/>
        <v>157</v>
      </c>
      <c r="G81" s="28">
        <v>0</v>
      </c>
      <c r="H81" s="15">
        <v>154</v>
      </c>
      <c r="I81" s="15">
        <v>73</v>
      </c>
      <c r="J81" s="15">
        <v>152</v>
      </c>
      <c r="K81" s="15">
        <v>134</v>
      </c>
    </row>
    <row r="82" spans="1:11" x14ac:dyDescent="0.2">
      <c r="A82">
        <v>80</v>
      </c>
      <c r="B82" s="31">
        <v>4</v>
      </c>
      <c r="C82" s="6">
        <f t="shared" si="4"/>
        <v>-3.1412965076784012</v>
      </c>
      <c r="D82" s="6">
        <f>ABS(SUM(C$2:C82))</f>
        <v>159.67647112375857</v>
      </c>
      <c r="E82" s="6">
        <f t="shared" si="5"/>
        <v>0.32352887624142568</v>
      </c>
      <c r="F82" s="3">
        <f t="shared" si="6"/>
        <v>160</v>
      </c>
      <c r="G82" s="28">
        <v>0</v>
      </c>
      <c r="H82" s="15">
        <v>157</v>
      </c>
      <c r="I82" s="15">
        <v>74</v>
      </c>
      <c r="J82" s="15">
        <v>155</v>
      </c>
      <c r="K82" s="15">
        <v>137</v>
      </c>
    </row>
    <row r="83" spans="1:11" x14ac:dyDescent="0.2">
      <c r="A83">
        <v>81</v>
      </c>
      <c r="B83" s="31">
        <v>4.05</v>
      </c>
      <c r="C83" s="6">
        <f t="shared" si="4"/>
        <v>-3.1568705775248334</v>
      </c>
      <c r="D83" s="6">
        <f>ABS(SUM(C$2:C83))</f>
        <v>162.83334170128342</v>
      </c>
      <c r="E83" s="6">
        <f t="shared" si="5"/>
        <v>0.16665829871658389</v>
      </c>
      <c r="F83" s="3">
        <f t="shared" si="6"/>
        <v>163</v>
      </c>
      <c r="G83" s="28">
        <v>0</v>
      </c>
      <c r="H83" s="15">
        <v>160</v>
      </c>
      <c r="I83" s="15">
        <v>76</v>
      </c>
      <c r="J83" s="15">
        <v>158</v>
      </c>
      <c r="K83" s="15">
        <v>140</v>
      </c>
    </row>
    <row r="84" spans="1:11" x14ac:dyDescent="0.2">
      <c r="A84">
        <v>82</v>
      </c>
      <c r="B84" s="31">
        <v>4.0999999999999996</v>
      </c>
      <c r="C84" s="6">
        <f t="shared" si="4"/>
        <v>-3.1721331659743366</v>
      </c>
      <c r="D84" s="6">
        <f>ABS(SUM(C$2:C84))</f>
        <v>166.00547486725776</v>
      </c>
      <c r="E84" s="6">
        <f t="shared" si="5"/>
        <v>0.49452513274223975</v>
      </c>
      <c r="F84" s="3">
        <f t="shared" si="6"/>
        <v>166.5</v>
      </c>
      <c r="G84" s="28">
        <v>0</v>
      </c>
      <c r="H84" s="15">
        <v>164</v>
      </c>
      <c r="I84" s="15">
        <v>78</v>
      </c>
      <c r="J84" s="15">
        <v>162</v>
      </c>
      <c r="K84" s="15">
        <v>144</v>
      </c>
    </row>
    <row r="85" spans="1:11" x14ac:dyDescent="0.2">
      <c r="A85">
        <v>83</v>
      </c>
      <c r="B85" s="31">
        <v>4.1500000000000004</v>
      </c>
      <c r="C85" s="6">
        <f t="shared" si="4"/>
        <v>-3.1870905026548502</v>
      </c>
      <c r="D85" s="6">
        <f>ABS(SUM(C$2:C85))</f>
        <v>169.19256536991261</v>
      </c>
      <c r="E85" s="6">
        <f t="shared" si="5"/>
        <v>0.30743463008738559</v>
      </c>
      <c r="F85" s="3">
        <f t="shared" si="6"/>
        <v>169.5</v>
      </c>
      <c r="G85" s="28">
        <v>0</v>
      </c>
      <c r="H85" s="15">
        <v>167</v>
      </c>
      <c r="I85" s="15">
        <v>79</v>
      </c>
      <c r="J85" s="15">
        <v>165</v>
      </c>
      <c r="K85" s="15">
        <v>147</v>
      </c>
    </row>
    <row r="86" spans="1:11" x14ac:dyDescent="0.2">
      <c r="A86">
        <v>84</v>
      </c>
      <c r="B86" s="31">
        <v>4.2</v>
      </c>
      <c r="C86" s="6">
        <f t="shared" si="4"/>
        <v>-3.2017486926017531</v>
      </c>
      <c r="D86" s="6">
        <f>ABS(SUM(C$2:C86))</f>
        <v>172.39431406251435</v>
      </c>
      <c r="E86" s="6">
        <f t="shared" si="5"/>
        <v>0.10568593748564581</v>
      </c>
      <c r="F86" s="3">
        <f t="shared" si="6"/>
        <v>172.5</v>
      </c>
      <c r="G86" s="28">
        <v>0</v>
      </c>
      <c r="H86" s="15">
        <v>170</v>
      </c>
      <c r="I86" s="15">
        <v>81</v>
      </c>
      <c r="J86" s="15">
        <v>168</v>
      </c>
      <c r="K86" s="15">
        <v>150</v>
      </c>
    </row>
    <row r="87" spans="1:11" x14ac:dyDescent="0.2">
      <c r="A87">
        <v>85</v>
      </c>
      <c r="B87" s="31">
        <v>4.25</v>
      </c>
      <c r="C87" s="6">
        <f t="shared" si="4"/>
        <v>-3.216113718749718</v>
      </c>
      <c r="D87" s="6">
        <f>ABS(SUM(C$2:C87))</f>
        <v>175.61042778126406</v>
      </c>
      <c r="E87" s="6">
        <f t="shared" si="5"/>
        <v>0.38957221873593539</v>
      </c>
      <c r="F87" s="3">
        <f t="shared" si="6"/>
        <v>176</v>
      </c>
      <c r="G87" s="28">
        <v>0</v>
      </c>
      <c r="H87" s="15">
        <v>173</v>
      </c>
      <c r="I87" s="15">
        <v>82</v>
      </c>
      <c r="J87" s="15">
        <v>171</v>
      </c>
      <c r="K87" s="15">
        <v>153</v>
      </c>
    </row>
    <row r="88" spans="1:11" x14ac:dyDescent="0.2">
      <c r="A88">
        <v>86</v>
      </c>
      <c r="B88" s="31">
        <v>4.3</v>
      </c>
      <c r="C88" s="6">
        <f t="shared" si="4"/>
        <v>-3.2301914443747237</v>
      </c>
      <c r="D88" s="6">
        <f>ABS(SUM(C$2:C88))</f>
        <v>178.84061922563879</v>
      </c>
      <c r="E88" s="6">
        <f t="shared" si="5"/>
        <v>0.15938077436121034</v>
      </c>
      <c r="F88" s="3">
        <f t="shared" si="6"/>
        <v>179</v>
      </c>
      <c r="G88" s="28">
        <v>0</v>
      </c>
      <c r="H88" s="15">
        <v>176</v>
      </c>
      <c r="I88" s="15">
        <v>84</v>
      </c>
      <c r="J88" s="15">
        <v>174</v>
      </c>
      <c r="K88" s="15">
        <v>156</v>
      </c>
    </row>
    <row r="89" spans="1:11" x14ac:dyDescent="0.2">
      <c r="A89">
        <v>87</v>
      </c>
      <c r="B89" s="31">
        <v>4.3499999999999996</v>
      </c>
      <c r="C89" s="6">
        <f t="shared" si="4"/>
        <v>-3.2439876154872294</v>
      </c>
      <c r="D89" s="6">
        <f>ABS(SUM(C$2:C89))</f>
        <v>182.08460684112603</v>
      </c>
      <c r="E89" s="6">
        <f t="shared" si="5"/>
        <v>0.4153931588739681</v>
      </c>
      <c r="F89" s="3">
        <f t="shared" si="6"/>
        <v>182.5</v>
      </c>
      <c r="G89" s="28">
        <v>0</v>
      </c>
      <c r="H89" s="15">
        <v>180</v>
      </c>
      <c r="I89" s="15">
        <v>86</v>
      </c>
      <c r="J89" s="15">
        <v>178</v>
      </c>
      <c r="K89" s="15">
        <v>160</v>
      </c>
    </row>
    <row r="90" spans="1:11" x14ac:dyDescent="0.2">
      <c r="A90">
        <v>88</v>
      </c>
      <c r="B90" s="31">
        <v>4.4000000000000004</v>
      </c>
      <c r="C90" s="6">
        <f t="shared" si="4"/>
        <v>-3.257507863177485</v>
      </c>
      <c r="D90" s="6">
        <f>ABS(SUM(C$2:C90))</f>
        <v>185.34211470430353</v>
      </c>
      <c r="E90" s="6">
        <f t="shared" si="5"/>
        <v>0.1578852956964738</v>
      </c>
      <c r="F90" s="3">
        <f t="shared" si="6"/>
        <v>185.5</v>
      </c>
      <c r="G90" s="28">
        <v>0</v>
      </c>
      <c r="H90" s="15">
        <v>183</v>
      </c>
      <c r="I90" s="15">
        <v>87</v>
      </c>
      <c r="J90" s="15">
        <v>181</v>
      </c>
      <c r="K90" s="15">
        <v>163</v>
      </c>
    </row>
    <row r="91" spans="1:11" x14ac:dyDescent="0.2">
      <c r="A91">
        <v>89</v>
      </c>
      <c r="B91" s="31">
        <v>4.45</v>
      </c>
      <c r="C91" s="6">
        <f t="shared" si="4"/>
        <v>-3.270757705913935</v>
      </c>
      <c r="D91" s="6">
        <f>ABS(SUM(C$2:C91))</f>
        <v>188.61287241021745</v>
      </c>
      <c r="E91" s="6">
        <f t="shared" si="5"/>
        <v>0.38712758978255124</v>
      </c>
      <c r="F91" s="3">
        <f t="shared" si="6"/>
        <v>189</v>
      </c>
      <c r="G91" s="28">
        <v>0</v>
      </c>
      <c r="H91" s="15">
        <v>186</v>
      </c>
      <c r="I91" s="15">
        <v>89</v>
      </c>
      <c r="J91" s="15">
        <v>184</v>
      </c>
      <c r="K91" s="15">
        <v>166</v>
      </c>
    </row>
    <row r="92" spans="1:11" x14ac:dyDescent="0.2">
      <c r="A92">
        <v>90</v>
      </c>
      <c r="B92" s="31">
        <v>4.5</v>
      </c>
      <c r="C92" s="6">
        <f t="shared" si="4"/>
        <v>-3.2837425517956564</v>
      </c>
      <c r="D92" s="6">
        <f>ABS(SUM(C$2:C92))</f>
        <v>191.8966149620131</v>
      </c>
      <c r="E92" s="6">
        <f t="shared" si="5"/>
        <v>0.10338503798689658</v>
      </c>
      <c r="F92" s="3">
        <f t="shared" si="6"/>
        <v>192</v>
      </c>
      <c r="G92" s="28">
        <v>0</v>
      </c>
      <c r="H92" s="15">
        <v>189</v>
      </c>
      <c r="I92" s="15">
        <v>90</v>
      </c>
      <c r="J92" s="15">
        <v>187</v>
      </c>
      <c r="K92" s="15">
        <v>169</v>
      </c>
    </row>
    <row r="93" spans="1:11" x14ac:dyDescent="0.2">
      <c r="A93">
        <v>91</v>
      </c>
      <c r="B93" s="31">
        <v>4.55</v>
      </c>
      <c r="C93" s="6">
        <f t="shared" si="4"/>
        <v>-3.2964677007597434</v>
      </c>
      <c r="D93" s="6">
        <f>ABS(SUM(C$2:C93))</f>
        <v>195.19308266277284</v>
      </c>
      <c r="E93" s="6">
        <f t="shared" si="5"/>
        <v>0.30691733722716208</v>
      </c>
      <c r="F93" s="3">
        <f t="shared" si="6"/>
        <v>195.5</v>
      </c>
      <c r="G93" s="28">
        <v>0</v>
      </c>
      <c r="H93" s="15">
        <v>193</v>
      </c>
      <c r="I93" s="15">
        <v>92</v>
      </c>
      <c r="J93" s="15">
        <v>191</v>
      </c>
      <c r="K93" s="15">
        <v>173</v>
      </c>
    </row>
    <row r="94" spans="1:11" x14ac:dyDescent="0.2">
      <c r="A94">
        <v>92</v>
      </c>
      <c r="B94" s="31">
        <v>4.5999999999999996</v>
      </c>
      <c r="C94" s="6">
        <f t="shared" si="4"/>
        <v>-3.3089383467445486</v>
      </c>
      <c r="D94" s="6">
        <f>ABS(SUM(C$2:C94))</f>
        <v>198.50202100951739</v>
      </c>
      <c r="E94" s="6">
        <f t="shared" si="5"/>
        <v>0.49797899048260774</v>
      </c>
      <c r="F94" s="3">
        <f t="shared" si="6"/>
        <v>199</v>
      </c>
      <c r="G94" s="28">
        <v>0</v>
      </c>
      <c r="H94" s="15">
        <v>196</v>
      </c>
      <c r="I94" s="15">
        <v>94</v>
      </c>
      <c r="J94" s="15">
        <v>194</v>
      </c>
      <c r="K94" s="15">
        <v>176</v>
      </c>
    </row>
    <row r="95" spans="1:11" x14ac:dyDescent="0.2">
      <c r="A95">
        <v>93</v>
      </c>
      <c r="B95" s="31">
        <v>4.6500000000000004</v>
      </c>
      <c r="C95" s="6">
        <f t="shared" si="4"/>
        <v>-3.3211595798096578</v>
      </c>
      <c r="D95" s="6">
        <f>ABS(SUM(C$2:C95))</f>
        <v>201.82318058932705</v>
      </c>
      <c r="E95" s="6">
        <f t="shared" si="5"/>
        <v>0.17681941067294815</v>
      </c>
      <c r="F95" s="3">
        <f t="shared" si="6"/>
        <v>202</v>
      </c>
      <c r="G95" s="28">
        <v>0</v>
      </c>
      <c r="H95" s="15">
        <v>199</v>
      </c>
      <c r="I95" s="15">
        <v>95</v>
      </c>
      <c r="J95" s="15">
        <v>197</v>
      </c>
      <c r="K95" s="15">
        <v>179</v>
      </c>
    </row>
    <row r="96" spans="1:11" x14ac:dyDescent="0.2">
      <c r="A96">
        <v>94</v>
      </c>
      <c r="B96" s="31">
        <v>4.7</v>
      </c>
      <c r="C96" s="6">
        <f t="shared" si="4"/>
        <v>-3.3331363882134641</v>
      </c>
      <c r="D96" s="6">
        <f>ABS(SUM(C$2:C96))</f>
        <v>205.15631697754051</v>
      </c>
      <c r="E96" s="6">
        <f t="shared" si="5"/>
        <v>0.34368302245948712</v>
      </c>
      <c r="F96" s="3">
        <f t="shared" si="6"/>
        <v>205.5</v>
      </c>
      <c r="G96" s="28">
        <v>0</v>
      </c>
      <c r="H96" s="15">
        <v>203</v>
      </c>
      <c r="I96" s="15">
        <v>97</v>
      </c>
      <c r="J96" s="15">
        <v>201</v>
      </c>
      <c r="K96" s="15">
        <v>183</v>
      </c>
    </row>
    <row r="97" spans="1:11" x14ac:dyDescent="0.2">
      <c r="A97">
        <v>95</v>
      </c>
      <c r="B97" s="31">
        <v>4.75</v>
      </c>
      <c r="C97" s="6">
        <f t="shared" si="4"/>
        <v>-3.3448736604491951</v>
      </c>
      <c r="D97" s="6">
        <f>ABS(SUM(C$2:C97))</f>
        <v>208.50119063798971</v>
      </c>
      <c r="E97" s="6">
        <f t="shared" si="5"/>
        <v>0.49880936201029158</v>
      </c>
      <c r="F97" s="3">
        <f t="shared" si="6"/>
        <v>209</v>
      </c>
      <c r="G97" s="28">
        <v>0</v>
      </c>
      <c r="H97" s="15">
        <v>206</v>
      </c>
      <c r="I97" s="15">
        <v>99</v>
      </c>
      <c r="J97" s="15">
        <v>204</v>
      </c>
      <c r="K97" s="15">
        <v>186</v>
      </c>
    </row>
    <row r="98" spans="1:11" x14ac:dyDescent="0.2">
      <c r="A98">
        <v>96</v>
      </c>
      <c r="B98" s="31">
        <v>4.8</v>
      </c>
      <c r="C98" s="6">
        <f t="shared" ref="C98:C129" si="7">((0.98 ^ A98) - 1) * 3.92</f>
        <v>-3.3563761872402114</v>
      </c>
      <c r="D98" s="6">
        <f>ABS(SUM(C$2:C98))</f>
        <v>211.85756682522992</v>
      </c>
      <c r="E98" s="6">
        <f t="shared" si="5"/>
        <v>0.14243317477007622</v>
      </c>
      <c r="F98" s="3">
        <f t="shared" si="6"/>
        <v>212</v>
      </c>
      <c r="G98" s="28">
        <v>0</v>
      </c>
      <c r="H98" s="15">
        <v>209</v>
      </c>
      <c r="I98" s="15">
        <v>100</v>
      </c>
      <c r="J98" s="15">
        <v>207</v>
      </c>
      <c r="K98" s="15">
        <v>189</v>
      </c>
    </row>
    <row r="99" spans="1:11" x14ac:dyDescent="0.2">
      <c r="A99">
        <v>97</v>
      </c>
      <c r="B99" s="31">
        <v>4.8499999999999996</v>
      </c>
      <c r="C99" s="6">
        <f t="shared" si="7"/>
        <v>-3.3676486634954066</v>
      </c>
      <c r="D99" s="6">
        <f>ABS(SUM(C$2:C99))</f>
        <v>215.22521548872533</v>
      </c>
      <c r="E99" s="6">
        <f t="shared" si="5"/>
        <v>0.27478451127467451</v>
      </c>
      <c r="F99" s="3">
        <f t="shared" si="6"/>
        <v>215.5</v>
      </c>
      <c r="G99" s="28">
        <v>0</v>
      </c>
      <c r="H99" s="15">
        <v>213</v>
      </c>
      <c r="I99" s="15">
        <v>102</v>
      </c>
      <c r="J99" s="15">
        <v>211</v>
      </c>
      <c r="K99" s="15">
        <v>193</v>
      </c>
    </row>
    <row r="100" spans="1:11" x14ac:dyDescent="0.2">
      <c r="A100">
        <v>98</v>
      </c>
      <c r="B100" s="31">
        <v>4.9000000000000004</v>
      </c>
      <c r="C100" s="6">
        <f t="shared" si="7"/>
        <v>-3.378695690225499</v>
      </c>
      <c r="D100" s="6">
        <f>ABS(SUM(C$2:C100))</f>
        <v>218.60391117895082</v>
      </c>
      <c r="E100" s="6">
        <f t="shared" si="5"/>
        <v>0.39608882104917598</v>
      </c>
      <c r="F100" s="3">
        <f t="shared" si="6"/>
        <v>219</v>
      </c>
      <c r="G100" s="28">
        <v>0</v>
      </c>
      <c r="H100" s="15">
        <v>216</v>
      </c>
      <c r="I100" s="15">
        <v>104</v>
      </c>
      <c r="J100" s="15">
        <v>214</v>
      </c>
      <c r="K100" s="15">
        <v>196</v>
      </c>
    </row>
    <row r="101" spans="1:11" x14ac:dyDescent="0.2">
      <c r="A101">
        <v>99</v>
      </c>
      <c r="B101" s="31">
        <v>4.95</v>
      </c>
      <c r="C101" s="6">
        <f t="shared" si="7"/>
        <v>-3.3895217764209891</v>
      </c>
      <c r="D101" s="6">
        <f>ABS(SUM(C$2:C101))</f>
        <v>221.99343295537182</v>
      </c>
      <c r="E101" s="6">
        <f t="shared" si="5"/>
        <v>6.5670446281842487E-3</v>
      </c>
      <c r="F101" s="3">
        <f t="shared" si="6"/>
        <v>222</v>
      </c>
      <c r="G101" s="28">
        <v>0</v>
      </c>
      <c r="H101" s="15">
        <v>219</v>
      </c>
      <c r="I101" s="15">
        <v>105</v>
      </c>
      <c r="J101" s="15">
        <v>217</v>
      </c>
      <c r="K101" s="15">
        <v>199</v>
      </c>
    </row>
    <row r="102" spans="1:11" x14ac:dyDescent="0.2">
      <c r="A102">
        <v>100</v>
      </c>
      <c r="B102" s="31">
        <v>5</v>
      </c>
      <c r="C102" s="6">
        <f t="shared" si="7"/>
        <v>-3.4001313408925693</v>
      </c>
      <c r="D102" s="6">
        <f>ABS(SUM(C$2:C102))</f>
        <v>225.39356429626437</v>
      </c>
      <c r="E102" s="6">
        <f t="shared" si="5"/>
        <v>0.10643570373562738</v>
      </c>
      <c r="F102" s="3">
        <f t="shared" si="6"/>
        <v>225.5</v>
      </c>
      <c r="G102" s="28">
        <v>0</v>
      </c>
      <c r="H102" s="15">
        <v>223</v>
      </c>
      <c r="I102" s="15">
        <v>107</v>
      </c>
      <c r="J102" s="15">
        <v>221</v>
      </c>
      <c r="K102" s="15">
        <v>203</v>
      </c>
    </row>
    <row r="103" spans="1:11" x14ac:dyDescent="0.2">
      <c r="A103">
        <v>101</v>
      </c>
      <c r="B103" s="31">
        <v>5.05</v>
      </c>
      <c r="C103" s="6">
        <f t="shared" si="7"/>
        <v>-3.4105287140747178</v>
      </c>
      <c r="D103" s="6">
        <f>ABS(SUM(C$2:C103))</f>
        <v>228.8040930103391</v>
      </c>
      <c r="E103" s="6">
        <f t="shared" si="5"/>
        <v>0.19590698966089803</v>
      </c>
      <c r="F103" s="3">
        <f t="shared" si="6"/>
        <v>229</v>
      </c>
      <c r="G103" s="28">
        <v>0</v>
      </c>
      <c r="H103" s="15">
        <v>226</v>
      </c>
      <c r="I103" s="15">
        <v>109</v>
      </c>
      <c r="J103" s="15">
        <v>224</v>
      </c>
      <c r="K103" s="15">
        <v>206</v>
      </c>
    </row>
    <row r="104" spans="1:11" x14ac:dyDescent="0.2">
      <c r="A104">
        <v>102</v>
      </c>
      <c r="B104" s="31">
        <v>5.0999999999999996</v>
      </c>
      <c r="C104" s="6">
        <f t="shared" si="7"/>
        <v>-3.4207181397932236</v>
      </c>
      <c r="D104" s="6">
        <f>ABS(SUM(C$2:C104))</f>
        <v>232.22481115013233</v>
      </c>
      <c r="E104" s="6">
        <f t="shared" si="5"/>
        <v>0.27518884986767489</v>
      </c>
      <c r="F104" s="3">
        <f t="shared" si="6"/>
        <v>232.5</v>
      </c>
      <c r="G104" s="28">
        <v>0</v>
      </c>
      <c r="H104" s="15">
        <v>230</v>
      </c>
      <c r="I104" s="15">
        <v>111</v>
      </c>
      <c r="J104" s="15">
        <v>228</v>
      </c>
      <c r="K104" s="15">
        <v>210</v>
      </c>
    </row>
    <row r="105" spans="1:11" x14ac:dyDescent="0.2">
      <c r="A105">
        <v>103</v>
      </c>
      <c r="B105" s="31">
        <v>5.15</v>
      </c>
      <c r="C105" s="6">
        <f t="shared" si="7"/>
        <v>-3.4307037769973592</v>
      </c>
      <c r="D105" s="6">
        <f>ABS(SUM(C$2:C105))</f>
        <v>235.65551492712967</v>
      </c>
      <c r="E105" s="6">
        <f t="shared" si="5"/>
        <v>0.34448507287032726</v>
      </c>
      <c r="F105" s="3">
        <f t="shared" si="6"/>
        <v>236</v>
      </c>
      <c r="G105" s="28">
        <v>0</v>
      </c>
      <c r="H105" s="15">
        <v>233</v>
      </c>
      <c r="I105" s="15">
        <v>112</v>
      </c>
      <c r="J105" s="15">
        <v>231</v>
      </c>
      <c r="K105" s="15">
        <v>213</v>
      </c>
    </row>
    <row r="106" spans="1:11" x14ac:dyDescent="0.2">
      <c r="A106">
        <v>104</v>
      </c>
      <c r="B106" s="31">
        <v>5.2</v>
      </c>
      <c r="C106" s="6">
        <f t="shared" si="7"/>
        <v>-3.4404897014574121</v>
      </c>
      <c r="D106" s="6">
        <f>ABS(SUM(C$2:C106))</f>
        <v>239.09600462858708</v>
      </c>
      <c r="E106" s="6">
        <f t="shared" si="5"/>
        <v>0.4039953714129183</v>
      </c>
      <c r="F106" s="3">
        <f t="shared" si="6"/>
        <v>239.5</v>
      </c>
      <c r="G106" s="28">
        <v>0</v>
      </c>
      <c r="H106" s="15">
        <v>237</v>
      </c>
      <c r="I106" s="15">
        <v>114</v>
      </c>
      <c r="J106" s="15">
        <v>235</v>
      </c>
      <c r="K106" s="15">
        <v>217</v>
      </c>
    </row>
    <row r="107" spans="1:11" x14ac:dyDescent="0.2">
      <c r="A107">
        <v>105</v>
      </c>
      <c r="B107" s="31">
        <v>5.25</v>
      </c>
      <c r="C107" s="6">
        <f t="shared" si="7"/>
        <v>-3.4500799074282633</v>
      </c>
      <c r="D107" s="6">
        <f>ABS(SUM(C$2:C107))</f>
        <v>242.54608453601534</v>
      </c>
      <c r="E107" s="6">
        <f t="shared" si="5"/>
        <v>0.45391546398465721</v>
      </c>
      <c r="F107" s="3">
        <f t="shared" si="6"/>
        <v>243</v>
      </c>
      <c r="G107" s="28">
        <v>0</v>
      </c>
      <c r="H107" s="15">
        <v>240</v>
      </c>
      <c r="I107" s="15">
        <v>116</v>
      </c>
      <c r="J107" s="15">
        <v>238</v>
      </c>
      <c r="K107" s="15">
        <v>220</v>
      </c>
    </row>
    <row r="108" spans="1:11" x14ac:dyDescent="0.2">
      <c r="A108">
        <v>106</v>
      </c>
      <c r="B108" s="31">
        <v>5.3</v>
      </c>
      <c r="C108" s="6">
        <f t="shared" si="7"/>
        <v>-3.4594783092796986</v>
      </c>
      <c r="D108" s="6">
        <f>ABS(SUM(C$2:C108))</f>
        <v>246.00556284529503</v>
      </c>
      <c r="E108" s="6">
        <f t="shared" si="5"/>
        <v>0.49443715470496841</v>
      </c>
      <c r="F108" s="3">
        <f t="shared" si="6"/>
        <v>246.5</v>
      </c>
      <c r="G108" s="28">
        <v>0</v>
      </c>
      <c r="H108" s="15">
        <v>244</v>
      </c>
      <c r="I108" s="15">
        <v>118</v>
      </c>
      <c r="J108" s="15">
        <v>242</v>
      </c>
      <c r="K108" s="15">
        <v>224</v>
      </c>
    </row>
    <row r="109" spans="1:11" x14ac:dyDescent="0.2">
      <c r="A109">
        <v>107</v>
      </c>
      <c r="B109" s="31">
        <v>5.35</v>
      </c>
      <c r="C109" s="6">
        <f t="shared" si="7"/>
        <v>-3.4686887430941042</v>
      </c>
      <c r="D109" s="6">
        <f>ABS(SUM(C$2:C109))</f>
        <v>249.47425158838914</v>
      </c>
      <c r="E109" s="6">
        <f t="shared" si="5"/>
        <v>2.5748411610862831E-2</v>
      </c>
      <c r="F109" s="3">
        <f t="shared" si="6"/>
        <v>249.5</v>
      </c>
      <c r="G109" s="28">
        <v>0</v>
      </c>
      <c r="H109" s="15">
        <v>247</v>
      </c>
      <c r="I109" s="15">
        <v>119</v>
      </c>
      <c r="J109" s="15">
        <v>245</v>
      </c>
      <c r="K109" s="15">
        <v>227</v>
      </c>
    </row>
    <row r="110" spans="1:11" x14ac:dyDescent="0.2">
      <c r="A110">
        <v>108</v>
      </c>
      <c r="B110" s="31">
        <v>5.4</v>
      </c>
      <c r="C110" s="6">
        <f t="shared" si="7"/>
        <v>-3.4777149682322221</v>
      </c>
      <c r="D110" s="6">
        <f>ABS(SUM(C$2:C110))</f>
        <v>252.95196655662136</v>
      </c>
      <c r="E110" s="6">
        <f t="shared" si="5"/>
        <v>4.803344337864246E-2</v>
      </c>
      <c r="F110" s="3">
        <f t="shared" si="6"/>
        <v>253</v>
      </c>
      <c r="G110" s="28">
        <v>0</v>
      </c>
      <c r="H110" s="15">
        <v>250</v>
      </c>
      <c r="I110" s="15">
        <v>121</v>
      </c>
      <c r="J110" s="15">
        <v>248</v>
      </c>
      <c r="K110" s="15">
        <v>230</v>
      </c>
    </row>
    <row r="111" spans="1:11" x14ac:dyDescent="0.2">
      <c r="A111">
        <v>109</v>
      </c>
      <c r="B111" s="31">
        <v>5.45</v>
      </c>
      <c r="C111" s="6">
        <f t="shared" si="7"/>
        <v>-3.4865606688675777</v>
      </c>
      <c r="D111" s="6">
        <f>ABS(SUM(C$2:C111))</f>
        <v>256.43852722548894</v>
      </c>
      <c r="E111" s="6">
        <f t="shared" si="5"/>
        <v>6.1472774511059924E-2</v>
      </c>
      <c r="F111" s="3">
        <f t="shared" si="6"/>
        <v>256.5</v>
      </c>
      <c r="G111" s="28">
        <v>0</v>
      </c>
      <c r="H111" s="15">
        <v>254</v>
      </c>
      <c r="I111" s="15">
        <v>123</v>
      </c>
      <c r="J111" s="15">
        <v>252</v>
      </c>
      <c r="K111" s="15">
        <v>234</v>
      </c>
    </row>
    <row r="112" spans="1:11" x14ac:dyDescent="0.2">
      <c r="A112">
        <v>110</v>
      </c>
      <c r="B112" s="31">
        <v>5.5</v>
      </c>
      <c r="C112" s="6">
        <f t="shared" si="7"/>
        <v>-3.4952294554902266</v>
      </c>
      <c r="D112" s="6">
        <f>ABS(SUM(C$2:C112))</f>
        <v>259.93375668097917</v>
      </c>
      <c r="E112" s="6">
        <f t="shared" si="5"/>
        <v>6.6243319020827585E-2</v>
      </c>
      <c r="F112" s="3">
        <f t="shared" si="6"/>
        <v>260</v>
      </c>
      <c r="G112" s="28">
        <v>0</v>
      </c>
      <c r="H112" s="15">
        <v>257</v>
      </c>
      <c r="I112" s="15">
        <v>124</v>
      </c>
      <c r="J112" s="15">
        <v>255</v>
      </c>
      <c r="K112" s="15">
        <v>237</v>
      </c>
    </row>
    <row r="113" spans="1:11" x14ac:dyDescent="0.2">
      <c r="A113">
        <v>111</v>
      </c>
      <c r="B113" s="31">
        <v>5.55</v>
      </c>
      <c r="C113" s="6">
        <f t="shared" si="7"/>
        <v>-3.5037248663804217</v>
      </c>
      <c r="D113" s="6">
        <f>ABS(SUM(C$2:C113))</f>
        <v>263.4374815473596</v>
      </c>
      <c r="E113" s="6">
        <f t="shared" si="5"/>
        <v>6.2518452640404121E-2</v>
      </c>
      <c r="F113" s="3">
        <f t="shared" si="6"/>
        <v>263.5</v>
      </c>
      <c r="G113" s="28">
        <v>0</v>
      </c>
      <c r="H113" s="15">
        <v>261</v>
      </c>
      <c r="I113" s="15">
        <v>126</v>
      </c>
      <c r="J113" s="15">
        <v>259</v>
      </c>
      <c r="K113" s="15">
        <v>241</v>
      </c>
    </row>
    <row r="114" spans="1:11" x14ac:dyDescent="0.2">
      <c r="A114">
        <v>112</v>
      </c>
      <c r="B114" s="31">
        <v>5.6</v>
      </c>
      <c r="C114" s="6">
        <f t="shared" si="7"/>
        <v>-3.5120503690528131</v>
      </c>
      <c r="D114" s="6">
        <f>ABS(SUM(C$2:C114))</f>
        <v>266.94953191641241</v>
      </c>
      <c r="E114" s="6">
        <f t="shared" si="5"/>
        <v>5.0468083587588808E-2</v>
      </c>
      <c r="F114" s="3">
        <f t="shared" si="6"/>
        <v>267</v>
      </c>
      <c r="G114" s="28">
        <v>0</v>
      </c>
      <c r="H114" s="15">
        <v>264</v>
      </c>
      <c r="I114" s="15">
        <v>128</v>
      </c>
      <c r="J114" s="15">
        <v>262</v>
      </c>
      <c r="K114" s="15">
        <v>244</v>
      </c>
    </row>
    <row r="115" spans="1:11" x14ac:dyDescent="0.2">
      <c r="A115">
        <v>113</v>
      </c>
      <c r="B115" s="31">
        <v>5.65</v>
      </c>
      <c r="C115" s="6">
        <f t="shared" si="7"/>
        <v>-3.5202093616717574</v>
      </c>
      <c r="D115" s="6">
        <f>ABS(SUM(C$2:C115))</f>
        <v>270.46974127808414</v>
      </c>
      <c r="E115" s="6">
        <f t="shared" si="5"/>
        <v>3.0258721915856768E-2</v>
      </c>
      <c r="F115" s="3">
        <f t="shared" si="6"/>
        <v>270.5</v>
      </c>
      <c r="G115" s="28">
        <v>0</v>
      </c>
      <c r="H115" s="15">
        <v>268</v>
      </c>
      <c r="I115" s="15">
        <v>130</v>
      </c>
      <c r="J115" s="15">
        <v>266</v>
      </c>
      <c r="K115" s="15">
        <v>248</v>
      </c>
    </row>
    <row r="116" spans="1:11" x14ac:dyDescent="0.2">
      <c r="A116">
        <v>114</v>
      </c>
      <c r="B116" s="31">
        <v>5.7</v>
      </c>
      <c r="C116" s="6">
        <f t="shared" si="7"/>
        <v>-3.5282051744383218</v>
      </c>
      <c r="D116" s="6">
        <f>ABS(SUM(C$2:C116))</f>
        <v>273.99794645252246</v>
      </c>
      <c r="E116" s="6">
        <f t="shared" si="5"/>
        <v>2.0535474775442708E-3</v>
      </c>
      <c r="F116" s="3">
        <f t="shared" si="6"/>
        <v>274</v>
      </c>
      <c r="G116" s="28">
        <v>0</v>
      </c>
      <c r="H116" s="15">
        <v>271</v>
      </c>
      <c r="I116" s="15">
        <v>131</v>
      </c>
      <c r="J116" s="15">
        <v>269</v>
      </c>
      <c r="K116" s="15">
        <v>251</v>
      </c>
    </row>
    <row r="117" spans="1:11" x14ac:dyDescent="0.2">
      <c r="A117">
        <v>115</v>
      </c>
      <c r="B117" s="31">
        <v>5.75</v>
      </c>
      <c r="C117" s="6">
        <f t="shared" si="7"/>
        <v>-3.5360410709495556</v>
      </c>
      <c r="D117" s="6">
        <f>ABS(SUM(C$2:C117))</f>
        <v>277.53398752347204</v>
      </c>
      <c r="E117" s="6">
        <f t="shared" si="5"/>
        <v>0.46601247652796474</v>
      </c>
      <c r="F117" s="3">
        <f t="shared" si="6"/>
        <v>278</v>
      </c>
      <c r="G117" s="28">
        <v>0</v>
      </c>
      <c r="H117" s="15">
        <v>275</v>
      </c>
      <c r="I117" s="15">
        <v>133</v>
      </c>
      <c r="J117" s="15">
        <v>273</v>
      </c>
      <c r="K117" s="15">
        <v>255</v>
      </c>
    </row>
    <row r="118" spans="1:11" x14ac:dyDescent="0.2">
      <c r="A118">
        <v>116</v>
      </c>
      <c r="B118" s="31">
        <v>5.8</v>
      </c>
      <c r="C118" s="6">
        <f t="shared" si="7"/>
        <v>-3.5437202495305646</v>
      </c>
      <c r="D118" s="6">
        <f>ABS(SUM(C$2:C118))</f>
        <v>281.0777077730026</v>
      </c>
      <c r="E118" s="6">
        <f t="shared" si="5"/>
        <v>0.42229222699739921</v>
      </c>
      <c r="F118" s="3">
        <f t="shared" si="6"/>
        <v>281.5</v>
      </c>
      <c r="G118" s="28">
        <v>0</v>
      </c>
      <c r="H118" s="15">
        <v>279</v>
      </c>
      <c r="I118" s="15">
        <v>135</v>
      </c>
      <c r="J118" s="15">
        <v>277</v>
      </c>
      <c r="K118" s="15">
        <v>259</v>
      </c>
    </row>
    <row r="119" spans="1:11" x14ac:dyDescent="0.2">
      <c r="A119">
        <v>117</v>
      </c>
      <c r="B119" s="31">
        <v>5.85</v>
      </c>
      <c r="C119" s="6">
        <f t="shared" si="7"/>
        <v>-3.5512458445399533</v>
      </c>
      <c r="D119" s="6">
        <f>ABS(SUM(C$2:C119))</f>
        <v>284.62895361754255</v>
      </c>
      <c r="E119" s="6">
        <f t="shared" si="5"/>
        <v>0.37104638245745036</v>
      </c>
      <c r="F119" s="3">
        <f t="shared" si="6"/>
        <v>285</v>
      </c>
      <c r="G119" s="28">
        <v>0</v>
      </c>
      <c r="H119" s="15">
        <v>282</v>
      </c>
      <c r="I119" s="15">
        <v>137</v>
      </c>
      <c r="J119" s="15">
        <v>280</v>
      </c>
      <c r="K119" s="15">
        <v>262</v>
      </c>
    </row>
    <row r="120" spans="1:11" x14ac:dyDescent="0.2">
      <c r="A120">
        <v>118</v>
      </c>
      <c r="B120" s="31">
        <v>5.9</v>
      </c>
      <c r="C120" s="6">
        <f t="shared" si="7"/>
        <v>-3.5586209276491543</v>
      </c>
      <c r="D120" s="6">
        <f>ABS(SUM(C$2:C120))</f>
        <v>288.18757454519169</v>
      </c>
      <c r="E120" s="6">
        <f t="shared" si="5"/>
        <v>0.31242545480830586</v>
      </c>
      <c r="F120" s="3">
        <f t="shared" si="6"/>
        <v>288.5</v>
      </c>
      <c r="G120" s="28">
        <v>0</v>
      </c>
      <c r="H120" s="15">
        <v>286</v>
      </c>
      <c r="I120" s="15">
        <v>139</v>
      </c>
      <c r="J120" s="15">
        <v>284</v>
      </c>
      <c r="K120" s="15">
        <v>266</v>
      </c>
    </row>
    <row r="121" spans="1:11" x14ac:dyDescent="0.2">
      <c r="A121">
        <v>119</v>
      </c>
      <c r="B121" s="31">
        <v>5.95</v>
      </c>
      <c r="C121" s="6">
        <f t="shared" si="7"/>
        <v>-3.5658485090961713</v>
      </c>
      <c r="D121" s="6">
        <f>ABS(SUM(C$2:C121))</f>
        <v>291.75342305428785</v>
      </c>
      <c r="E121" s="6">
        <f t="shared" si="5"/>
        <v>0.24657694571214961</v>
      </c>
      <c r="F121" s="3">
        <f t="shared" si="6"/>
        <v>292</v>
      </c>
      <c r="G121" s="28">
        <v>0</v>
      </c>
      <c r="H121" s="15">
        <v>289</v>
      </c>
      <c r="I121" s="15">
        <v>140</v>
      </c>
      <c r="J121" s="15">
        <v>287</v>
      </c>
      <c r="K121" s="15">
        <v>269</v>
      </c>
    </row>
    <row r="122" spans="1:11" x14ac:dyDescent="0.2">
      <c r="A122">
        <v>120</v>
      </c>
      <c r="B122" s="31">
        <v>6</v>
      </c>
      <c r="C122" s="6">
        <f t="shared" si="7"/>
        <v>-3.5729315389142475</v>
      </c>
      <c r="D122" s="6">
        <f>ABS(SUM(C$2:C122))</f>
        <v>295.3263545932021</v>
      </c>
      <c r="E122" s="6">
        <f t="shared" si="5"/>
        <v>0.17364540679790252</v>
      </c>
      <c r="F122" s="3">
        <f t="shared" si="6"/>
        <v>295.5</v>
      </c>
      <c r="G122" s="28">
        <v>0</v>
      </c>
      <c r="H122" s="15">
        <v>293</v>
      </c>
      <c r="I122" s="15">
        <v>142</v>
      </c>
      <c r="J122" s="15">
        <v>291</v>
      </c>
      <c r="K122" s="15">
        <v>273</v>
      </c>
    </row>
    <row r="123" spans="1:11" x14ac:dyDescent="0.2">
      <c r="A123">
        <v>121</v>
      </c>
      <c r="B123" s="31">
        <v>6.05</v>
      </c>
      <c r="C123" s="6">
        <f t="shared" si="7"/>
        <v>-3.5798729081359624</v>
      </c>
      <c r="D123" s="6">
        <f>ABS(SUM(C$2:C123))</f>
        <v>298.90622750133804</v>
      </c>
      <c r="E123" s="6">
        <f t="shared" si="5"/>
        <v>9.37724986619628E-2</v>
      </c>
      <c r="F123" s="3">
        <f t="shared" si="6"/>
        <v>299</v>
      </c>
      <c r="G123" s="28">
        <v>0</v>
      </c>
      <c r="H123" s="15">
        <v>296</v>
      </c>
      <c r="I123" s="15">
        <v>144</v>
      </c>
      <c r="J123" s="15">
        <v>294</v>
      </c>
      <c r="K123" s="15">
        <v>276</v>
      </c>
    </row>
    <row r="124" spans="1:11" x14ac:dyDescent="0.2">
      <c r="A124">
        <v>122</v>
      </c>
      <c r="B124" s="31">
        <v>6.1</v>
      </c>
      <c r="C124" s="6">
        <f t="shared" si="7"/>
        <v>-3.5866754499732436</v>
      </c>
      <c r="D124" s="6">
        <f>ABS(SUM(C$2:C124))</f>
        <v>302.49290295131129</v>
      </c>
      <c r="E124" s="6">
        <f t="shared" si="5"/>
        <v>7.0970486887063089E-3</v>
      </c>
      <c r="F124" s="3">
        <f t="shared" si="6"/>
        <v>302.5</v>
      </c>
      <c r="G124" s="28">
        <v>0</v>
      </c>
      <c r="H124" s="15">
        <v>300</v>
      </c>
      <c r="I124" s="15">
        <v>146</v>
      </c>
      <c r="J124" s="15">
        <v>298</v>
      </c>
      <c r="K124" s="15">
        <v>280</v>
      </c>
    </row>
    <row r="125" spans="1:11" x14ac:dyDescent="0.2">
      <c r="A125">
        <v>123</v>
      </c>
      <c r="B125" s="31">
        <v>6.15</v>
      </c>
      <c r="C125" s="6">
        <f t="shared" si="7"/>
        <v>-3.5933419409737786</v>
      </c>
      <c r="D125" s="6">
        <f>ABS(SUM(C$2:C125))</f>
        <v>306.08624489228509</v>
      </c>
      <c r="E125" s="6">
        <f t="shared" si="5"/>
        <v>0.41375510771490553</v>
      </c>
      <c r="F125" s="3">
        <f t="shared" si="6"/>
        <v>306.5</v>
      </c>
      <c r="G125" s="28">
        <v>0</v>
      </c>
      <c r="H125" s="15">
        <v>304</v>
      </c>
      <c r="I125" s="15">
        <v>148</v>
      </c>
      <c r="J125" s="15">
        <v>302</v>
      </c>
      <c r="K125" s="15">
        <v>284</v>
      </c>
    </row>
    <row r="126" spans="1:11" x14ac:dyDescent="0.2">
      <c r="A126">
        <v>124</v>
      </c>
      <c r="B126" s="31">
        <v>6.2</v>
      </c>
      <c r="C126" s="6">
        <f t="shared" si="7"/>
        <v>-3.5998751021543032</v>
      </c>
      <c r="D126" s="6">
        <f>ABS(SUM(C$2:C126))</f>
        <v>309.68611999443942</v>
      </c>
      <c r="E126" s="6">
        <f t="shared" si="5"/>
        <v>0.31388000556057705</v>
      </c>
      <c r="F126" s="3">
        <f t="shared" si="6"/>
        <v>310</v>
      </c>
      <c r="G126" s="28">
        <v>0</v>
      </c>
      <c r="H126" s="15">
        <v>307</v>
      </c>
      <c r="I126" s="15">
        <v>149</v>
      </c>
      <c r="J126" s="15">
        <v>305</v>
      </c>
      <c r="K126" s="15">
        <v>287</v>
      </c>
    </row>
    <row r="127" spans="1:11" x14ac:dyDescent="0.2">
      <c r="A127">
        <v>125</v>
      </c>
      <c r="B127" s="31">
        <v>6.25</v>
      </c>
      <c r="C127" s="6">
        <f t="shared" si="7"/>
        <v>-3.6062776001112171</v>
      </c>
      <c r="D127" s="6">
        <f>ABS(SUM(C$2:C127))</f>
        <v>313.29239759455066</v>
      </c>
      <c r="E127" s="6">
        <f t="shared" si="5"/>
        <v>0.20760240544933595</v>
      </c>
      <c r="F127" s="3">
        <f t="shared" si="6"/>
        <v>313.5</v>
      </c>
      <c r="G127" s="28">
        <v>0</v>
      </c>
      <c r="H127" s="15">
        <v>311</v>
      </c>
      <c r="I127" s="15">
        <v>151</v>
      </c>
      <c r="J127" s="15">
        <v>309</v>
      </c>
      <c r="K127" s="15">
        <v>291</v>
      </c>
    </row>
    <row r="128" spans="1:11" x14ac:dyDescent="0.2">
      <c r="A128">
        <v>126</v>
      </c>
      <c r="B128" s="31">
        <v>6.3</v>
      </c>
      <c r="C128" s="6">
        <f t="shared" si="7"/>
        <v>-3.6125520481089928</v>
      </c>
      <c r="D128" s="6">
        <f>ABS(SUM(C$2:C128))</f>
        <v>316.90494964265963</v>
      </c>
      <c r="E128" s="6">
        <f t="shared" si="5"/>
        <v>9.5050357340369374E-2</v>
      </c>
      <c r="F128" s="3">
        <f t="shared" si="6"/>
        <v>317</v>
      </c>
      <c r="G128" s="28">
        <v>0</v>
      </c>
      <c r="H128" s="15">
        <v>314</v>
      </c>
      <c r="I128" s="15">
        <v>153</v>
      </c>
      <c r="J128" s="15">
        <v>312</v>
      </c>
      <c r="K128" s="15">
        <v>294</v>
      </c>
    </row>
    <row r="129" spans="1:11" x14ac:dyDescent="0.2">
      <c r="A129">
        <v>127</v>
      </c>
      <c r="B129" s="31">
        <v>6.35</v>
      </c>
      <c r="C129" s="6">
        <f t="shared" si="7"/>
        <v>-3.6187010071468131</v>
      </c>
      <c r="D129" s="6">
        <f>ABS(SUM(C$2:C129))</f>
        <v>320.52365064980643</v>
      </c>
      <c r="E129" s="6">
        <f t="shared" si="5"/>
        <v>0.47634935019357272</v>
      </c>
      <c r="F129" s="3">
        <f t="shared" si="6"/>
        <v>321</v>
      </c>
      <c r="G129" s="28">
        <v>0</v>
      </c>
      <c r="H129" s="15">
        <v>318</v>
      </c>
      <c r="I129" s="15">
        <v>155</v>
      </c>
      <c r="J129" s="15">
        <v>316</v>
      </c>
      <c r="K129" s="15">
        <v>298</v>
      </c>
    </row>
    <row r="130" spans="1:11" x14ac:dyDescent="0.2">
      <c r="A130">
        <v>128</v>
      </c>
      <c r="B130" s="31">
        <v>6.4</v>
      </c>
      <c r="C130" s="6">
        <f t="shared" ref="C130:C161" si="8">((0.98 ^ A130) - 1) * 3.92</f>
        <v>-3.6247269870038763</v>
      </c>
      <c r="D130" s="6">
        <f>ABS(SUM(C$2:C130))</f>
        <v>324.14837763681032</v>
      </c>
      <c r="E130" s="6">
        <f t="shared" si="5"/>
        <v>0.35162236318967643</v>
      </c>
      <c r="F130" s="3">
        <f t="shared" si="6"/>
        <v>324.5</v>
      </c>
      <c r="G130" s="28">
        <v>0</v>
      </c>
      <c r="H130" s="15">
        <v>322</v>
      </c>
      <c r="I130" s="15">
        <v>157</v>
      </c>
      <c r="J130" s="15">
        <v>320</v>
      </c>
      <c r="K130" s="15">
        <v>302</v>
      </c>
    </row>
    <row r="131" spans="1:11" x14ac:dyDescent="0.2">
      <c r="A131">
        <v>129</v>
      </c>
      <c r="B131" s="31">
        <v>6.45</v>
      </c>
      <c r="C131" s="6">
        <f t="shared" si="8"/>
        <v>-3.6306324472637992</v>
      </c>
      <c r="D131" s="6">
        <f>ABS(SUM(C$2:C131))</f>
        <v>327.77901008407412</v>
      </c>
      <c r="E131" s="6">
        <f t="shared" ref="E131:E194" si="9">_xlfn.CEILING.MATH(D131, 0.5)-D131</f>
        <v>0.22098991592588391</v>
      </c>
      <c r="F131" s="3">
        <f t="shared" ref="F131:F194" si="10">_xlfn.CEILING.MATH(D131, 0.5)</f>
        <v>328</v>
      </c>
      <c r="G131" s="28">
        <v>0</v>
      </c>
      <c r="H131" s="15">
        <v>325</v>
      </c>
      <c r="I131" s="15">
        <v>158</v>
      </c>
      <c r="J131" s="15">
        <v>323</v>
      </c>
      <c r="K131" s="15">
        <v>305</v>
      </c>
    </row>
    <row r="132" spans="1:11" x14ac:dyDescent="0.2">
      <c r="A132">
        <v>130</v>
      </c>
      <c r="B132" s="31">
        <v>6.5</v>
      </c>
      <c r="C132" s="6">
        <f t="shared" si="8"/>
        <v>-3.6364197983185234</v>
      </c>
      <c r="D132" s="6">
        <f>ABS(SUM(C$2:C132))</f>
        <v>331.41542988239263</v>
      </c>
      <c r="E132" s="6">
        <f t="shared" si="9"/>
        <v>8.4570117607370321E-2</v>
      </c>
      <c r="F132" s="3">
        <f t="shared" si="10"/>
        <v>331.5</v>
      </c>
      <c r="G132" s="28">
        <v>0</v>
      </c>
      <c r="H132" s="15">
        <v>329</v>
      </c>
      <c r="I132" s="15">
        <v>160</v>
      </c>
      <c r="J132" s="15">
        <v>327</v>
      </c>
      <c r="K132" s="15">
        <v>309</v>
      </c>
    </row>
    <row r="133" spans="1:11" x14ac:dyDescent="0.2">
      <c r="A133">
        <v>131</v>
      </c>
      <c r="B133" s="31">
        <v>6.55</v>
      </c>
      <c r="C133" s="6">
        <f t="shared" si="8"/>
        <v>-3.6420914023521527</v>
      </c>
      <c r="D133" s="6">
        <f>ABS(SUM(C$2:C133))</f>
        <v>335.05752128474478</v>
      </c>
      <c r="E133" s="6">
        <f t="shared" si="9"/>
        <v>0.44247871525521987</v>
      </c>
      <c r="F133" s="3">
        <f t="shared" si="10"/>
        <v>335.5</v>
      </c>
      <c r="G133" s="28">
        <v>0</v>
      </c>
      <c r="H133" s="15">
        <v>333</v>
      </c>
      <c r="I133" s="15">
        <v>162</v>
      </c>
      <c r="J133" s="15">
        <v>331</v>
      </c>
      <c r="K133" s="15">
        <v>313</v>
      </c>
    </row>
    <row r="134" spans="1:11" x14ac:dyDescent="0.2">
      <c r="A134">
        <v>132</v>
      </c>
      <c r="B134" s="31">
        <v>6.6</v>
      </c>
      <c r="C134" s="6">
        <f t="shared" si="8"/>
        <v>-3.6476495743051096</v>
      </c>
      <c r="D134" s="6">
        <f>ABS(SUM(C$2:C134))</f>
        <v>338.70517085904987</v>
      </c>
      <c r="E134" s="6">
        <f t="shared" si="9"/>
        <v>0.29482914095012802</v>
      </c>
      <c r="F134" s="3">
        <f t="shared" si="10"/>
        <v>339</v>
      </c>
      <c r="G134" s="28">
        <v>0</v>
      </c>
      <c r="H134" s="15">
        <v>336</v>
      </c>
      <c r="I134" s="15">
        <v>164</v>
      </c>
      <c r="J134" s="15">
        <v>334</v>
      </c>
      <c r="K134" s="15">
        <v>316</v>
      </c>
    </row>
    <row r="135" spans="1:11" x14ac:dyDescent="0.2">
      <c r="A135">
        <v>133</v>
      </c>
      <c r="B135" s="31">
        <v>6.65</v>
      </c>
      <c r="C135" s="6">
        <f t="shared" si="8"/>
        <v>-3.6530965828190074</v>
      </c>
      <c r="D135" s="6">
        <f>ABS(SUM(C$2:C135))</f>
        <v>342.35826744186886</v>
      </c>
      <c r="E135" s="6">
        <f t="shared" si="9"/>
        <v>0.14173255813113883</v>
      </c>
      <c r="F135" s="3">
        <f t="shared" si="10"/>
        <v>342.5</v>
      </c>
      <c r="G135" s="28">
        <v>0</v>
      </c>
      <c r="H135" s="15">
        <v>340</v>
      </c>
      <c r="I135" s="15">
        <v>166</v>
      </c>
      <c r="J135" s="15">
        <v>338</v>
      </c>
      <c r="K135" s="15">
        <v>320</v>
      </c>
    </row>
    <row r="136" spans="1:11" x14ac:dyDescent="0.2">
      <c r="A136">
        <v>134</v>
      </c>
      <c r="B136" s="31">
        <v>6.7</v>
      </c>
      <c r="C136" s="6">
        <f t="shared" si="8"/>
        <v>-3.6584346511626271</v>
      </c>
      <c r="D136" s="6">
        <f>ABS(SUM(C$2:C136))</f>
        <v>346.01670209303148</v>
      </c>
      <c r="E136" s="6">
        <f t="shared" si="9"/>
        <v>0.4832979069685166</v>
      </c>
      <c r="F136" s="3">
        <f t="shared" si="10"/>
        <v>346.5</v>
      </c>
      <c r="G136" s="28">
        <v>0</v>
      </c>
      <c r="H136" s="15">
        <v>344</v>
      </c>
      <c r="I136" s="15">
        <v>168</v>
      </c>
      <c r="J136" s="15">
        <v>342</v>
      </c>
      <c r="K136" s="15">
        <v>324</v>
      </c>
    </row>
    <row r="137" spans="1:11" x14ac:dyDescent="0.2">
      <c r="A137">
        <v>135</v>
      </c>
      <c r="B137" s="31">
        <v>6.75</v>
      </c>
      <c r="C137" s="6">
        <f t="shared" si="8"/>
        <v>-3.6636659581393745</v>
      </c>
      <c r="D137" s="6">
        <f>ABS(SUM(C$2:C137))</f>
        <v>349.68036805117083</v>
      </c>
      <c r="E137" s="6">
        <f t="shared" si="9"/>
        <v>0.31963194882916923</v>
      </c>
      <c r="F137" s="3">
        <f t="shared" si="10"/>
        <v>350</v>
      </c>
      <c r="G137" s="28">
        <v>0</v>
      </c>
      <c r="H137" s="15">
        <v>347</v>
      </c>
      <c r="I137" s="15">
        <v>169</v>
      </c>
      <c r="J137" s="15">
        <v>345</v>
      </c>
      <c r="K137" s="15">
        <v>327</v>
      </c>
    </row>
    <row r="138" spans="1:11" x14ac:dyDescent="0.2">
      <c r="A138">
        <v>136</v>
      </c>
      <c r="B138" s="31">
        <v>6.8</v>
      </c>
      <c r="C138" s="6">
        <f t="shared" si="8"/>
        <v>-3.6687926389765875</v>
      </c>
      <c r="D138" s="6">
        <f>ABS(SUM(C$2:C138))</f>
        <v>353.34916069014741</v>
      </c>
      <c r="E138" s="6">
        <f t="shared" si="9"/>
        <v>0.15083930985258576</v>
      </c>
      <c r="F138" s="3">
        <f t="shared" si="10"/>
        <v>353.5</v>
      </c>
      <c r="G138" s="28">
        <v>0</v>
      </c>
      <c r="H138" s="15">
        <v>351</v>
      </c>
      <c r="I138" s="15">
        <v>171</v>
      </c>
      <c r="J138" s="15">
        <v>349</v>
      </c>
      <c r="K138" s="15">
        <v>331</v>
      </c>
    </row>
    <row r="139" spans="1:11" x14ac:dyDescent="0.2">
      <c r="A139">
        <v>137</v>
      </c>
      <c r="B139" s="31">
        <v>6.85</v>
      </c>
      <c r="C139" s="6">
        <f t="shared" si="8"/>
        <v>-3.6738167861970554</v>
      </c>
      <c r="D139" s="6">
        <f>ABS(SUM(C$2:C139))</f>
        <v>357.02297747634447</v>
      </c>
      <c r="E139" s="6">
        <f t="shared" si="9"/>
        <v>0.47702252365553477</v>
      </c>
      <c r="F139" s="3">
        <f t="shared" si="10"/>
        <v>357.5</v>
      </c>
      <c r="G139" s="28">
        <v>0</v>
      </c>
      <c r="H139" s="15">
        <v>355</v>
      </c>
      <c r="I139" s="15">
        <v>173</v>
      </c>
      <c r="J139" s="15">
        <v>353</v>
      </c>
      <c r="K139" s="15">
        <v>335</v>
      </c>
    </row>
    <row r="140" spans="1:11" x14ac:dyDescent="0.2">
      <c r="A140">
        <v>138</v>
      </c>
      <c r="B140" s="31">
        <v>6.9</v>
      </c>
      <c r="C140" s="6">
        <f t="shared" si="8"/>
        <v>-3.6787404504731143</v>
      </c>
      <c r="D140" s="6">
        <f>ABS(SUM(C$2:C140))</f>
        <v>360.70171792681759</v>
      </c>
      <c r="E140" s="6">
        <f t="shared" si="9"/>
        <v>0.29828207318240629</v>
      </c>
      <c r="F140" s="3">
        <f t="shared" si="10"/>
        <v>361</v>
      </c>
      <c r="G140" s="28">
        <v>0</v>
      </c>
      <c r="H140" s="15">
        <v>358</v>
      </c>
      <c r="I140" s="15">
        <v>175</v>
      </c>
      <c r="J140" s="15">
        <v>356</v>
      </c>
      <c r="K140" s="15">
        <v>338</v>
      </c>
    </row>
    <row r="141" spans="1:11" x14ac:dyDescent="0.2">
      <c r="A141">
        <v>139</v>
      </c>
      <c r="B141" s="31">
        <v>6.95</v>
      </c>
      <c r="C141" s="6">
        <f t="shared" si="8"/>
        <v>-3.6835656414636522</v>
      </c>
      <c r="D141" s="6">
        <f>ABS(SUM(C$2:C141))</f>
        <v>364.38528356828124</v>
      </c>
      <c r="E141" s="6">
        <f t="shared" si="9"/>
        <v>0.11471643171876167</v>
      </c>
      <c r="F141" s="3">
        <f t="shared" si="10"/>
        <v>364.5</v>
      </c>
      <c r="G141" s="28">
        <v>0</v>
      </c>
      <c r="H141" s="15">
        <v>362</v>
      </c>
      <c r="I141" s="15">
        <v>177</v>
      </c>
      <c r="J141" s="15">
        <v>360</v>
      </c>
      <c r="K141" s="15">
        <v>342</v>
      </c>
    </row>
    <row r="142" spans="1:11" x14ac:dyDescent="0.2">
      <c r="A142">
        <v>140</v>
      </c>
      <c r="B142" s="31">
        <v>7</v>
      </c>
      <c r="C142" s="6">
        <f t="shared" si="8"/>
        <v>-3.6882943286343792</v>
      </c>
      <c r="D142" s="6">
        <f>ABS(SUM(C$2:C142))</f>
        <v>368.07357789691559</v>
      </c>
      <c r="E142" s="6">
        <f t="shared" si="9"/>
        <v>0.42642210308440553</v>
      </c>
      <c r="F142" s="3">
        <f t="shared" si="10"/>
        <v>368.5</v>
      </c>
      <c r="G142" s="28">
        <v>0</v>
      </c>
      <c r="H142" s="15">
        <v>366</v>
      </c>
      <c r="I142" s="15">
        <v>179</v>
      </c>
      <c r="J142" s="15">
        <v>364</v>
      </c>
      <c r="K142" s="15">
        <v>346</v>
      </c>
    </row>
    <row r="143" spans="1:11" x14ac:dyDescent="0.2">
      <c r="A143">
        <v>141</v>
      </c>
      <c r="B143" s="31">
        <v>7.05</v>
      </c>
      <c r="C143" s="6">
        <f t="shared" si="8"/>
        <v>-3.6929284420616915</v>
      </c>
      <c r="D143" s="6">
        <f>ABS(SUM(C$2:C143))</f>
        <v>371.76650633897731</v>
      </c>
      <c r="E143" s="6">
        <f t="shared" si="9"/>
        <v>0.23349366102269187</v>
      </c>
      <c r="F143" s="3">
        <f t="shared" si="10"/>
        <v>372</v>
      </c>
      <c r="G143" s="28">
        <v>0</v>
      </c>
      <c r="H143" s="15">
        <v>369</v>
      </c>
      <c r="I143" s="15">
        <v>180</v>
      </c>
      <c r="J143" s="15">
        <v>367</v>
      </c>
      <c r="K143" s="15">
        <v>349</v>
      </c>
    </row>
    <row r="144" spans="1:11" x14ac:dyDescent="0.2">
      <c r="A144">
        <v>142</v>
      </c>
      <c r="B144" s="31">
        <v>7.1</v>
      </c>
      <c r="C144" s="6">
        <f t="shared" si="8"/>
        <v>-3.6974698732204576</v>
      </c>
      <c r="D144" s="6">
        <f>ABS(SUM(C$2:C144))</f>
        <v>375.46397621219779</v>
      </c>
      <c r="E144" s="6">
        <f t="shared" si="9"/>
        <v>3.6023787802207607E-2</v>
      </c>
      <c r="F144" s="3">
        <f t="shared" si="10"/>
        <v>375.5</v>
      </c>
      <c r="G144" s="28">
        <v>0</v>
      </c>
      <c r="H144" s="15">
        <v>373</v>
      </c>
      <c r="I144" s="15">
        <v>182</v>
      </c>
      <c r="J144" s="15">
        <v>371</v>
      </c>
      <c r="K144" s="15">
        <v>353</v>
      </c>
    </row>
    <row r="145" spans="1:11" x14ac:dyDescent="0.2">
      <c r="A145">
        <v>143</v>
      </c>
      <c r="B145" s="31">
        <v>7.15</v>
      </c>
      <c r="C145" s="6">
        <f t="shared" si="8"/>
        <v>-3.7019204757560487</v>
      </c>
      <c r="D145" s="6">
        <f>ABS(SUM(C$2:C145))</f>
        <v>379.16589668795382</v>
      </c>
      <c r="E145" s="6">
        <f t="shared" si="9"/>
        <v>0.3341033120461816</v>
      </c>
      <c r="F145" s="3">
        <f t="shared" si="10"/>
        <v>379.5</v>
      </c>
      <c r="G145" s="28">
        <v>0</v>
      </c>
      <c r="H145" s="15">
        <v>377</v>
      </c>
      <c r="I145" s="15">
        <v>184</v>
      </c>
      <c r="J145" s="15">
        <v>375</v>
      </c>
      <c r="K145" s="15">
        <v>357</v>
      </c>
    </row>
    <row r="146" spans="1:11" x14ac:dyDescent="0.2">
      <c r="A146">
        <v>144</v>
      </c>
      <c r="B146" s="31">
        <v>7.2</v>
      </c>
      <c r="C146" s="6">
        <f t="shared" si="8"/>
        <v>-3.7062820662409277</v>
      </c>
      <c r="D146" s="6">
        <f>ABS(SUM(C$2:C146))</f>
        <v>382.87217875419475</v>
      </c>
      <c r="E146" s="6">
        <f t="shared" si="9"/>
        <v>0.12782124580525078</v>
      </c>
      <c r="F146" s="3">
        <f t="shared" si="10"/>
        <v>383</v>
      </c>
      <c r="G146" s="28">
        <v>0</v>
      </c>
      <c r="H146" s="15">
        <v>380</v>
      </c>
      <c r="I146" s="15">
        <v>186</v>
      </c>
      <c r="J146" s="15">
        <v>378</v>
      </c>
      <c r="K146" s="15">
        <v>360</v>
      </c>
    </row>
    <row r="147" spans="1:11" x14ac:dyDescent="0.2">
      <c r="A147">
        <v>145</v>
      </c>
      <c r="B147" s="31">
        <v>7.25</v>
      </c>
      <c r="C147" s="6">
        <f t="shared" si="8"/>
        <v>-3.7105564249161094</v>
      </c>
      <c r="D147" s="6">
        <f>ABS(SUM(C$2:C147))</f>
        <v>386.58273517911084</v>
      </c>
      <c r="E147" s="6">
        <f t="shared" si="9"/>
        <v>0.41726482088915873</v>
      </c>
      <c r="F147" s="3">
        <f t="shared" si="10"/>
        <v>387</v>
      </c>
      <c r="G147" s="28">
        <v>0</v>
      </c>
      <c r="H147" s="15">
        <v>384</v>
      </c>
      <c r="I147" s="15">
        <v>188</v>
      </c>
      <c r="J147" s="15">
        <v>382</v>
      </c>
      <c r="K147" s="15">
        <v>364</v>
      </c>
    </row>
    <row r="148" spans="1:11" x14ac:dyDescent="0.2">
      <c r="A148">
        <v>146</v>
      </c>
      <c r="B148" s="31">
        <v>7.3</v>
      </c>
      <c r="C148" s="6">
        <f t="shared" si="8"/>
        <v>-3.7147452964177869</v>
      </c>
      <c r="D148" s="6">
        <f>ABS(SUM(C$2:C148))</f>
        <v>390.29748047552863</v>
      </c>
      <c r="E148" s="6">
        <f t="shared" si="9"/>
        <v>0.20251952447137</v>
      </c>
      <c r="F148" s="3">
        <f t="shared" si="10"/>
        <v>390.5</v>
      </c>
      <c r="G148" s="28">
        <v>0</v>
      </c>
      <c r="H148" s="15">
        <v>388</v>
      </c>
      <c r="I148" s="15">
        <v>190</v>
      </c>
      <c r="J148" s="15">
        <v>386</v>
      </c>
      <c r="K148" s="15">
        <v>368</v>
      </c>
    </row>
    <row r="149" spans="1:11" x14ac:dyDescent="0.2">
      <c r="A149">
        <v>147</v>
      </c>
      <c r="B149" s="31">
        <v>7.35</v>
      </c>
      <c r="C149" s="6">
        <f t="shared" si="8"/>
        <v>-3.7188503904894312</v>
      </c>
      <c r="D149" s="6">
        <f>ABS(SUM(C$2:C149))</f>
        <v>394.01633086601805</v>
      </c>
      <c r="E149" s="6">
        <f t="shared" si="9"/>
        <v>0.48366913398194811</v>
      </c>
      <c r="F149" s="3">
        <f t="shared" si="10"/>
        <v>394.5</v>
      </c>
      <c r="G149" s="28">
        <v>0</v>
      </c>
      <c r="H149" s="15">
        <v>392</v>
      </c>
      <c r="I149" s="15">
        <v>192</v>
      </c>
      <c r="J149" s="15">
        <v>390</v>
      </c>
      <c r="K149" s="15">
        <v>372</v>
      </c>
    </row>
    <row r="150" spans="1:11" x14ac:dyDescent="0.2">
      <c r="A150">
        <v>148</v>
      </c>
      <c r="B150" s="31">
        <v>7.4</v>
      </c>
      <c r="C150" s="6">
        <f t="shared" si="8"/>
        <v>-3.7228733826796425</v>
      </c>
      <c r="D150" s="6">
        <f>ABS(SUM(C$2:C150))</f>
        <v>397.73920424869772</v>
      </c>
      <c r="E150" s="6">
        <f t="shared" si="9"/>
        <v>0.2607957513022825</v>
      </c>
      <c r="F150" s="3">
        <f t="shared" si="10"/>
        <v>398</v>
      </c>
      <c r="G150" s="28">
        <v>0</v>
      </c>
      <c r="H150" s="15">
        <v>395</v>
      </c>
      <c r="I150" s="15">
        <v>193</v>
      </c>
      <c r="J150" s="15">
        <v>393</v>
      </c>
      <c r="K150" s="15">
        <v>375</v>
      </c>
    </row>
    <row r="151" spans="1:11" x14ac:dyDescent="0.2">
      <c r="A151">
        <v>149</v>
      </c>
      <c r="B151" s="31">
        <v>7.45</v>
      </c>
      <c r="C151" s="6">
        <f t="shared" si="8"/>
        <v>-3.7268159150260498</v>
      </c>
      <c r="D151" s="6">
        <f>ABS(SUM(C$2:C151))</f>
        <v>401.46602016372378</v>
      </c>
      <c r="E151" s="6">
        <f t="shared" si="9"/>
        <v>3.3979836276216702E-2</v>
      </c>
      <c r="F151" s="3">
        <f t="shared" si="10"/>
        <v>401.5</v>
      </c>
      <c r="G151" s="28">
        <v>0</v>
      </c>
      <c r="H151" s="15">
        <v>399</v>
      </c>
      <c r="I151" s="15">
        <v>195</v>
      </c>
      <c r="J151" s="15">
        <v>397</v>
      </c>
      <c r="K151" s="15">
        <v>379</v>
      </c>
    </row>
    <row r="152" spans="1:11" x14ac:dyDescent="0.2">
      <c r="A152">
        <v>150</v>
      </c>
      <c r="B152" s="31">
        <v>7.5</v>
      </c>
      <c r="C152" s="6">
        <f t="shared" si="8"/>
        <v>-3.7306795967255288</v>
      </c>
      <c r="D152" s="6">
        <f>ABS(SUM(C$2:C152))</f>
        <v>405.19669976044929</v>
      </c>
      <c r="E152" s="6">
        <f t="shared" si="9"/>
        <v>0.30330023955070828</v>
      </c>
      <c r="F152" s="3">
        <f t="shared" si="10"/>
        <v>405.5</v>
      </c>
      <c r="G152" s="28">
        <v>0</v>
      </c>
      <c r="H152" s="15">
        <v>403</v>
      </c>
      <c r="I152" s="15">
        <v>197</v>
      </c>
      <c r="J152" s="15">
        <v>401</v>
      </c>
      <c r="K152" s="15">
        <v>383</v>
      </c>
    </row>
    <row r="153" spans="1:11" x14ac:dyDescent="0.2">
      <c r="A153">
        <v>151</v>
      </c>
      <c r="B153" s="31">
        <v>7.55</v>
      </c>
      <c r="C153" s="6">
        <f t="shared" si="8"/>
        <v>-3.7344660047910181</v>
      </c>
      <c r="D153" s="6">
        <f>ABS(SUM(C$2:C153))</f>
        <v>408.93116576524034</v>
      </c>
      <c r="E153" s="6">
        <f t="shared" si="9"/>
        <v>6.8834234759663104E-2</v>
      </c>
      <c r="F153" s="3">
        <f t="shared" si="10"/>
        <v>409</v>
      </c>
      <c r="G153" s="28">
        <v>0</v>
      </c>
      <c r="H153" s="15">
        <v>406</v>
      </c>
      <c r="I153" s="15">
        <v>199</v>
      </c>
      <c r="J153" s="15">
        <v>404</v>
      </c>
      <c r="K153" s="15">
        <v>386</v>
      </c>
    </row>
    <row r="154" spans="1:11" x14ac:dyDescent="0.2">
      <c r="A154">
        <v>152</v>
      </c>
      <c r="B154" s="31">
        <v>7.6</v>
      </c>
      <c r="C154" s="6">
        <f t="shared" si="8"/>
        <v>-3.7381766846951976</v>
      </c>
      <c r="D154" s="6">
        <f>ABS(SUM(C$2:C154))</f>
        <v>412.66934244993553</v>
      </c>
      <c r="E154" s="6">
        <f t="shared" si="9"/>
        <v>0.33065755006447262</v>
      </c>
      <c r="F154" s="3">
        <f t="shared" si="10"/>
        <v>413</v>
      </c>
      <c r="G154" s="28">
        <v>0</v>
      </c>
      <c r="H154" s="15">
        <v>410</v>
      </c>
      <c r="I154" s="15">
        <v>201</v>
      </c>
      <c r="J154" s="15">
        <v>408</v>
      </c>
      <c r="K154" s="15">
        <v>390</v>
      </c>
    </row>
    <row r="155" spans="1:11" x14ac:dyDescent="0.2">
      <c r="A155">
        <v>153</v>
      </c>
      <c r="B155" s="31">
        <v>7.65</v>
      </c>
      <c r="C155" s="6">
        <f t="shared" si="8"/>
        <v>-3.7418131510012937</v>
      </c>
      <c r="D155" s="6">
        <f>ABS(SUM(C$2:C155))</f>
        <v>416.41115560093681</v>
      </c>
      <c r="E155" s="6">
        <f t="shared" si="9"/>
        <v>8.8844399063191304E-2</v>
      </c>
      <c r="F155" s="3">
        <f t="shared" si="10"/>
        <v>416.5</v>
      </c>
      <c r="G155" s="28">
        <v>0</v>
      </c>
      <c r="H155" s="15">
        <v>414</v>
      </c>
      <c r="I155" s="15">
        <v>203</v>
      </c>
      <c r="J155" s="15">
        <v>412</v>
      </c>
      <c r="K155" s="15">
        <v>394</v>
      </c>
    </row>
    <row r="156" spans="1:11" x14ac:dyDescent="0.2">
      <c r="A156">
        <v>154</v>
      </c>
      <c r="B156" s="31">
        <v>7.7</v>
      </c>
      <c r="C156" s="6">
        <f t="shared" si="8"/>
        <v>-3.7453768879812679</v>
      </c>
      <c r="D156" s="6">
        <f>ABS(SUM(C$2:C156))</f>
        <v>420.15653248891806</v>
      </c>
      <c r="E156" s="6">
        <f t="shared" si="9"/>
        <v>0.34346751108193985</v>
      </c>
      <c r="F156" s="3">
        <f t="shared" si="10"/>
        <v>420.5</v>
      </c>
      <c r="G156" s="28">
        <v>0</v>
      </c>
      <c r="H156" s="15">
        <v>418</v>
      </c>
      <c r="I156" s="15">
        <v>205</v>
      </c>
      <c r="J156" s="15">
        <v>416</v>
      </c>
      <c r="K156" s="15">
        <v>398</v>
      </c>
    </row>
    <row r="157" spans="1:11" x14ac:dyDescent="0.2">
      <c r="A157">
        <v>155</v>
      </c>
      <c r="B157" s="31">
        <v>7.75</v>
      </c>
      <c r="C157" s="6">
        <f t="shared" si="8"/>
        <v>-3.7488693502216424</v>
      </c>
      <c r="D157" s="6">
        <f>ABS(SUM(C$2:C157))</f>
        <v>423.9054018391397</v>
      </c>
      <c r="E157" s="6">
        <f t="shared" si="9"/>
        <v>9.4598160860300595E-2</v>
      </c>
      <c r="F157" s="3">
        <f t="shared" si="10"/>
        <v>424</v>
      </c>
      <c r="G157" s="28">
        <v>0</v>
      </c>
      <c r="H157" s="15">
        <v>421</v>
      </c>
      <c r="I157" s="15">
        <v>206</v>
      </c>
      <c r="J157" s="15">
        <v>419</v>
      </c>
      <c r="K157" s="15">
        <v>401</v>
      </c>
    </row>
    <row r="158" spans="1:11" x14ac:dyDescent="0.2">
      <c r="A158">
        <v>156</v>
      </c>
      <c r="B158" s="31">
        <v>7.8</v>
      </c>
      <c r="C158" s="6">
        <f t="shared" si="8"/>
        <v>-3.7522919632172096</v>
      </c>
      <c r="D158" s="6">
        <f>ABS(SUM(C$2:C158))</f>
        <v>427.6576938023569</v>
      </c>
      <c r="E158" s="6">
        <f t="shared" si="9"/>
        <v>0.34230619764309722</v>
      </c>
      <c r="F158" s="3">
        <f t="shared" si="10"/>
        <v>428</v>
      </c>
      <c r="G158" s="28">
        <v>0</v>
      </c>
      <c r="H158" s="15">
        <v>425</v>
      </c>
      <c r="I158" s="15">
        <v>208</v>
      </c>
      <c r="J158" s="15">
        <v>423</v>
      </c>
      <c r="K158" s="15">
        <v>405</v>
      </c>
    </row>
    <row r="159" spans="1:11" x14ac:dyDescent="0.2">
      <c r="A159">
        <v>157</v>
      </c>
      <c r="B159" s="31">
        <v>7.85</v>
      </c>
      <c r="C159" s="6">
        <f t="shared" si="8"/>
        <v>-3.7556461239528653</v>
      </c>
      <c r="D159" s="6">
        <f>ABS(SUM(C$2:C159))</f>
        <v>431.41333992630979</v>
      </c>
      <c r="E159" s="6">
        <f t="shared" si="9"/>
        <v>8.6660073690211448E-2</v>
      </c>
      <c r="F159" s="3">
        <f t="shared" si="10"/>
        <v>431.5</v>
      </c>
      <c r="G159" s="28">
        <v>0</v>
      </c>
      <c r="H159" s="15">
        <v>429</v>
      </c>
      <c r="I159" s="15">
        <v>210</v>
      </c>
      <c r="J159" s="15">
        <v>427</v>
      </c>
      <c r="K159" s="15">
        <v>409</v>
      </c>
    </row>
    <row r="160" spans="1:11" x14ac:dyDescent="0.2">
      <c r="A160">
        <v>158</v>
      </c>
      <c r="B160" s="31">
        <v>7.9</v>
      </c>
      <c r="C160" s="6">
        <f t="shared" si="8"/>
        <v>-3.7589332014738082</v>
      </c>
      <c r="D160" s="6">
        <f>ABS(SUM(C$2:C160))</f>
        <v>435.17227312778357</v>
      </c>
      <c r="E160" s="6">
        <f t="shared" si="9"/>
        <v>0.32772687221643082</v>
      </c>
      <c r="F160" s="3">
        <f t="shared" si="10"/>
        <v>435.5</v>
      </c>
      <c r="G160" s="28">
        <v>0</v>
      </c>
      <c r="H160" s="15">
        <v>433</v>
      </c>
      <c r="I160" s="15">
        <v>212</v>
      </c>
      <c r="J160" s="15">
        <v>431</v>
      </c>
      <c r="K160" s="15">
        <v>413</v>
      </c>
    </row>
    <row r="161" spans="1:11" x14ac:dyDescent="0.2">
      <c r="A161">
        <v>159</v>
      </c>
      <c r="B161" s="31">
        <v>7.95</v>
      </c>
      <c r="C161" s="6">
        <f t="shared" si="8"/>
        <v>-3.7621545374443319</v>
      </c>
      <c r="D161" s="6">
        <f>ABS(SUM(C$2:C161))</f>
        <v>438.93442766522793</v>
      </c>
      <c r="E161" s="6">
        <f t="shared" si="9"/>
        <v>6.5572334772070917E-2</v>
      </c>
      <c r="F161" s="3">
        <f t="shared" si="10"/>
        <v>439</v>
      </c>
      <c r="G161" s="28">
        <v>0</v>
      </c>
      <c r="H161" s="15">
        <v>436</v>
      </c>
      <c r="I161" s="15">
        <v>214</v>
      </c>
      <c r="J161" s="15">
        <v>434</v>
      </c>
      <c r="K161" s="15">
        <v>416</v>
      </c>
    </row>
    <row r="162" spans="1:11" x14ac:dyDescent="0.2">
      <c r="A162">
        <v>160</v>
      </c>
      <c r="B162" s="31">
        <v>8</v>
      </c>
      <c r="C162" s="6">
        <f t="shared" ref="C162:C193" si="11">((0.98 ^ A162) - 1) * 3.92</f>
        <v>-3.7653114466954452</v>
      </c>
      <c r="D162" s="6">
        <f>ABS(SUM(C$2:C162))</f>
        <v>442.69973911192335</v>
      </c>
      <c r="E162" s="6">
        <f t="shared" si="9"/>
        <v>0.30026088807665019</v>
      </c>
      <c r="F162" s="3">
        <f t="shared" si="10"/>
        <v>443</v>
      </c>
      <c r="G162" s="28">
        <v>0</v>
      </c>
      <c r="H162" s="15">
        <v>440</v>
      </c>
      <c r="I162" s="15">
        <v>216</v>
      </c>
      <c r="J162" s="15">
        <v>438</v>
      </c>
      <c r="K162" s="15">
        <v>420</v>
      </c>
    </row>
    <row r="163" spans="1:11" x14ac:dyDescent="0.2">
      <c r="A163">
        <v>161</v>
      </c>
      <c r="B163" s="31">
        <v>8.0500000000000007</v>
      </c>
      <c r="C163" s="6">
        <f t="shared" si="11"/>
        <v>-3.7684052177615368</v>
      </c>
      <c r="D163" s="6">
        <f>ABS(SUM(C$2:C163))</f>
        <v>446.46814432968489</v>
      </c>
      <c r="E163" s="6">
        <f t="shared" si="9"/>
        <v>3.1855670315110274E-2</v>
      </c>
      <c r="F163" s="3">
        <f t="shared" si="10"/>
        <v>446.5</v>
      </c>
      <c r="G163" s="28">
        <v>0</v>
      </c>
      <c r="H163" s="15">
        <v>444</v>
      </c>
      <c r="I163" s="15">
        <v>218</v>
      </c>
      <c r="J163" s="15">
        <v>442</v>
      </c>
      <c r="K163" s="15">
        <v>424</v>
      </c>
    </row>
    <row r="164" spans="1:11" x14ac:dyDescent="0.2">
      <c r="A164">
        <v>162</v>
      </c>
      <c r="B164" s="31">
        <v>8.1</v>
      </c>
      <c r="C164" s="6">
        <f t="shared" si="11"/>
        <v>-3.7714371134063058</v>
      </c>
      <c r="D164" s="6">
        <f>ABS(SUM(C$2:C164))</f>
        <v>450.2395814430912</v>
      </c>
      <c r="E164" s="6">
        <f t="shared" si="9"/>
        <v>0.26041855690880311</v>
      </c>
      <c r="F164" s="3">
        <f t="shared" si="10"/>
        <v>450.5</v>
      </c>
      <c r="G164" s="28">
        <v>0</v>
      </c>
      <c r="H164" s="15">
        <v>448</v>
      </c>
      <c r="I164" s="15">
        <v>220</v>
      </c>
      <c r="J164" s="15">
        <v>446</v>
      </c>
      <c r="K164" s="15">
        <v>428</v>
      </c>
    </row>
    <row r="165" spans="1:11" x14ac:dyDescent="0.2">
      <c r="A165">
        <v>163</v>
      </c>
      <c r="B165" s="31">
        <v>8.15</v>
      </c>
      <c r="C165" s="6">
        <f t="shared" si="11"/>
        <v>-3.7744083711381795</v>
      </c>
      <c r="D165" s="6">
        <f>ABS(SUM(C$2:C165))</f>
        <v>454.01398981422938</v>
      </c>
      <c r="E165" s="6">
        <f t="shared" si="9"/>
        <v>0.48601018577062405</v>
      </c>
      <c r="F165" s="3">
        <f t="shared" si="10"/>
        <v>454.5</v>
      </c>
      <c r="G165" s="28">
        <v>0</v>
      </c>
      <c r="H165" s="15">
        <v>452</v>
      </c>
      <c r="I165" s="15">
        <v>222</v>
      </c>
      <c r="J165" s="15">
        <v>450</v>
      </c>
      <c r="K165" s="15">
        <v>432</v>
      </c>
    </row>
    <row r="166" spans="1:11" x14ac:dyDescent="0.2">
      <c r="A166">
        <v>164</v>
      </c>
      <c r="B166" s="31">
        <v>8.1999999999999993</v>
      </c>
      <c r="C166" s="6">
        <f t="shared" si="11"/>
        <v>-3.7773202037154161</v>
      </c>
      <c r="D166" s="6">
        <f>ABS(SUM(C$2:C166))</f>
        <v>457.7913100179448</v>
      </c>
      <c r="E166" s="6">
        <f t="shared" si="9"/>
        <v>0.20868998205520484</v>
      </c>
      <c r="F166" s="3">
        <f t="shared" si="10"/>
        <v>458</v>
      </c>
      <c r="G166" s="28">
        <v>0</v>
      </c>
      <c r="H166" s="15">
        <v>455</v>
      </c>
      <c r="I166" s="15">
        <v>223</v>
      </c>
      <c r="J166" s="15">
        <v>453</v>
      </c>
      <c r="K166" s="15">
        <v>435</v>
      </c>
    </row>
    <row r="167" spans="1:11" x14ac:dyDescent="0.2">
      <c r="A167">
        <v>165</v>
      </c>
      <c r="B167" s="31">
        <v>8.25</v>
      </c>
      <c r="C167" s="6">
        <f t="shared" si="11"/>
        <v>-3.780173799641108</v>
      </c>
      <c r="D167" s="6">
        <f>ABS(SUM(C$2:C167))</f>
        <v>461.57148381758589</v>
      </c>
      <c r="E167" s="6">
        <f t="shared" si="9"/>
        <v>0.42851618241411416</v>
      </c>
      <c r="F167" s="3">
        <f t="shared" si="10"/>
        <v>462</v>
      </c>
      <c r="G167" s="28">
        <v>0</v>
      </c>
      <c r="H167" s="15">
        <v>459</v>
      </c>
      <c r="I167" s="15">
        <v>225</v>
      </c>
      <c r="J167" s="15">
        <v>457</v>
      </c>
      <c r="K167" s="15">
        <v>439</v>
      </c>
    </row>
    <row r="168" spans="1:11" x14ac:dyDescent="0.2">
      <c r="A168">
        <v>166</v>
      </c>
      <c r="B168" s="31">
        <v>8.3000000000000007</v>
      </c>
      <c r="C168" s="6">
        <f t="shared" si="11"/>
        <v>-3.7829703236482852</v>
      </c>
      <c r="D168" s="6">
        <f>ABS(SUM(C$2:C168))</f>
        <v>465.35445414123416</v>
      </c>
      <c r="E168" s="6">
        <f t="shared" si="9"/>
        <v>0.14554585876584269</v>
      </c>
      <c r="F168" s="3">
        <f t="shared" si="10"/>
        <v>465.5</v>
      </c>
      <c r="G168" s="28">
        <v>0</v>
      </c>
      <c r="H168" s="15">
        <v>463</v>
      </c>
      <c r="I168" s="15">
        <v>227</v>
      </c>
      <c r="J168" s="15">
        <v>461</v>
      </c>
      <c r="K168" s="15">
        <v>443</v>
      </c>
    </row>
    <row r="169" spans="1:11" x14ac:dyDescent="0.2">
      <c r="A169">
        <v>167</v>
      </c>
      <c r="B169" s="31">
        <v>8.35</v>
      </c>
      <c r="C169" s="6">
        <f t="shared" si="11"/>
        <v>-3.78571091717532</v>
      </c>
      <c r="D169" s="6">
        <f>ABS(SUM(C$2:C169))</f>
        <v>469.14016505840948</v>
      </c>
      <c r="E169" s="6">
        <f t="shared" si="9"/>
        <v>0.35983494159052043</v>
      </c>
      <c r="F169" s="3">
        <f t="shared" si="10"/>
        <v>469.5</v>
      </c>
      <c r="G169" s="28">
        <v>0</v>
      </c>
      <c r="H169" s="15">
        <v>467</v>
      </c>
      <c r="I169" s="15">
        <v>229</v>
      </c>
      <c r="J169" s="15">
        <v>465</v>
      </c>
      <c r="K169" s="15">
        <v>447</v>
      </c>
    </row>
    <row r="170" spans="1:11" x14ac:dyDescent="0.2">
      <c r="A170">
        <v>168</v>
      </c>
      <c r="B170" s="31">
        <v>8.4</v>
      </c>
      <c r="C170" s="6">
        <f t="shared" si="11"/>
        <v>-3.7883966988318138</v>
      </c>
      <c r="D170" s="6">
        <f>ABS(SUM(C$2:C170))</f>
        <v>472.92856175724131</v>
      </c>
      <c r="E170" s="6">
        <f t="shared" si="9"/>
        <v>7.1438242758688375E-2</v>
      </c>
      <c r="F170" s="3">
        <f t="shared" si="10"/>
        <v>473</v>
      </c>
      <c r="G170" s="28">
        <v>0</v>
      </c>
      <c r="H170" s="15">
        <v>470</v>
      </c>
      <c r="I170" s="15">
        <v>231</v>
      </c>
      <c r="J170" s="15">
        <v>468</v>
      </c>
      <c r="K170" s="15">
        <v>450</v>
      </c>
    </row>
    <row r="171" spans="1:11" x14ac:dyDescent="0.2">
      <c r="A171">
        <v>169</v>
      </c>
      <c r="B171" s="31">
        <v>8.4499999999999993</v>
      </c>
      <c r="C171" s="6">
        <f t="shared" si="11"/>
        <v>-3.7910287648551773</v>
      </c>
      <c r="D171" s="6">
        <f>ABS(SUM(C$2:C171))</f>
        <v>476.7195905220965</v>
      </c>
      <c r="E171" s="6">
        <f t="shared" si="9"/>
        <v>0.28040947790350401</v>
      </c>
      <c r="F171" s="3">
        <f t="shared" si="10"/>
        <v>477</v>
      </c>
      <c r="G171" s="28">
        <v>0</v>
      </c>
      <c r="H171" s="15">
        <v>474</v>
      </c>
      <c r="I171" s="15">
        <v>233</v>
      </c>
      <c r="J171" s="15">
        <v>472</v>
      </c>
      <c r="K171" s="15">
        <v>454</v>
      </c>
    </row>
    <row r="172" spans="1:11" x14ac:dyDescent="0.2">
      <c r="A172">
        <v>170</v>
      </c>
      <c r="B172" s="31">
        <v>8.5</v>
      </c>
      <c r="C172" s="6">
        <f t="shared" si="11"/>
        <v>-3.7936081895580736</v>
      </c>
      <c r="D172" s="6">
        <f>ABS(SUM(C$2:C172))</f>
        <v>480.51319871165458</v>
      </c>
      <c r="E172" s="6">
        <f t="shared" si="9"/>
        <v>0.48680128834541847</v>
      </c>
      <c r="F172" s="3">
        <f t="shared" si="10"/>
        <v>481</v>
      </c>
      <c r="G172" s="28">
        <v>0</v>
      </c>
      <c r="H172" s="15">
        <v>478</v>
      </c>
      <c r="I172" s="15">
        <v>235</v>
      </c>
      <c r="J172" s="15">
        <v>476</v>
      </c>
      <c r="K172" s="15">
        <v>458</v>
      </c>
    </row>
    <row r="173" spans="1:11" x14ac:dyDescent="0.2">
      <c r="A173">
        <v>171</v>
      </c>
      <c r="B173" s="31">
        <v>8.5500000000000007</v>
      </c>
      <c r="C173" s="6">
        <f t="shared" si="11"/>
        <v>-3.7961360257669119</v>
      </c>
      <c r="D173" s="6">
        <f>ABS(SUM(C$2:C173))</f>
        <v>484.30933473742147</v>
      </c>
      <c r="E173" s="6">
        <f t="shared" si="9"/>
        <v>0.19066526257853411</v>
      </c>
      <c r="F173" s="3">
        <f t="shared" si="10"/>
        <v>484.5</v>
      </c>
      <c r="G173" s="28">
        <v>0</v>
      </c>
      <c r="H173" s="15">
        <v>482</v>
      </c>
      <c r="I173" s="15">
        <v>237</v>
      </c>
      <c r="J173" s="15">
        <v>480</v>
      </c>
      <c r="K173" s="15">
        <v>462</v>
      </c>
    </row>
    <row r="174" spans="1:11" x14ac:dyDescent="0.2">
      <c r="A174">
        <v>172</v>
      </c>
      <c r="B174" s="31">
        <v>8.6</v>
      </c>
      <c r="C174" s="6">
        <f t="shared" si="11"/>
        <v>-3.7986133052515743</v>
      </c>
      <c r="D174" s="6">
        <f>ABS(SUM(C$2:C174))</f>
        <v>488.10794804267306</v>
      </c>
      <c r="E174" s="6">
        <f t="shared" si="9"/>
        <v>0.39205195732694165</v>
      </c>
      <c r="F174" s="3">
        <f t="shared" si="10"/>
        <v>488.5</v>
      </c>
      <c r="G174" s="28">
        <v>0</v>
      </c>
      <c r="H174" s="15">
        <v>486</v>
      </c>
      <c r="I174" s="15">
        <v>239</v>
      </c>
      <c r="J174" s="15">
        <v>484</v>
      </c>
      <c r="K174" s="15">
        <v>466</v>
      </c>
    </row>
    <row r="175" spans="1:11" x14ac:dyDescent="0.2">
      <c r="A175">
        <v>173</v>
      </c>
      <c r="B175" s="31">
        <v>8.65</v>
      </c>
      <c r="C175" s="6">
        <f t="shared" si="11"/>
        <v>-3.8010410391465421</v>
      </c>
      <c r="D175" s="6">
        <f>ABS(SUM(C$2:C175))</f>
        <v>491.90898908181958</v>
      </c>
      <c r="E175" s="6">
        <f t="shared" si="9"/>
        <v>9.1010918180415956E-2</v>
      </c>
      <c r="F175" s="3">
        <f t="shared" si="10"/>
        <v>492</v>
      </c>
      <c r="G175" s="28">
        <v>0</v>
      </c>
      <c r="H175" s="15">
        <v>489</v>
      </c>
      <c r="I175" s="15">
        <v>240</v>
      </c>
      <c r="J175" s="15">
        <v>487</v>
      </c>
      <c r="K175" s="15">
        <v>469</v>
      </c>
    </row>
    <row r="176" spans="1:11" x14ac:dyDescent="0.2">
      <c r="A176">
        <v>174</v>
      </c>
      <c r="B176" s="31">
        <v>8.6999999999999993</v>
      </c>
      <c r="C176" s="6">
        <f t="shared" si="11"/>
        <v>-3.8034202183636117</v>
      </c>
      <c r="D176" s="6">
        <f>ABS(SUM(C$2:C176))</f>
        <v>495.7124093001832</v>
      </c>
      <c r="E176" s="6">
        <f t="shared" si="9"/>
        <v>0.28759069981680341</v>
      </c>
      <c r="F176" s="3">
        <f t="shared" si="10"/>
        <v>496</v>
      </c>
      <c r="G176" s="28">
        <v>0</v>
      </c>
      <c r="H176" s="15">
        <v>493</v>
      </c>
      <c r="I176" s="15">
        <v>242</v>
      </c>
      <c r="J176" s="15">
        <v>491</v>
      </c>
      <c r="K176" s="15">
        <v>473</v>
      </c>
    </row>
    <row r="177" spans="1:11" x14ac:dyDescent="0.2">
      <c r="A177">
        <v>175</v>
      </c>
      <c r="B177" s="31">
        <v>8.75</v>
      </c>
      <c r="C177" s="6">
        <f t="shared" si="11"/>
        <v>-3.8057518139963395</v>
      </c>
      <c r="D177" s="6">
        <f>ABS(SUM(C$2:C177))</f>
        <v>499.51816111417952</v>
      </c>
      <c r="E177" s="6">
        <f t="shared" si="9"/>
        <v>0.48183888582047985</v>
      </c>
      <c r="F177" s="3">
        <f t="shared" si="10"/>
        <v>500</v>
      </c>
      <c r="G177" s="28">
        <v>0</v>
      </c>
      <c r="H177" s="15">
        <v>497</v>
      </c>
      <c r="I177" s="15">
        <v>244</v>
      </c>
      <c r="J177" s="15">
        <v>495</v>
      </c>
      <c r="K177" s="15">
        <v>477</v>
      </c>
    </row>
    <row r="178" spans="1:11" x14ac:dyDescent="0.2">
      <c r="A178">
        <v>176</v>
      </c>
      <c r="B178" s="31">
        <v>8.8000000000000007</v>
      </c>
      <c r="C178" s="6">
        <f t="shared" si="11"/>
        <v>-3.8080367777164126</v>
      </c>
      <c r="D178" s="6">
        <f>ABS(SUM(C$2:C178))</f>
        <v>503.32619789189596</v>
      </c>
      <c r="E178" s="6">
        <f t="shared" si="9"/>
        <v>0.17380210810404151</v>
      </c>
      <c r="F178" s="3">
        <f t="shared" si="10"/>
        <v>503.5</v>
      </c>
      <c r="G178" s="28">
        <v>0</v>
      </c>
      <c r="H178" s="15">
        <v>501</v>
      </c>
      <c r="I178" s="15">
        <v>246</v>
      </c>
      <c r="J178" s="15">
        <v>499</v>
      </c>
      <c r="K178" s="15">
        <v>481</v>
      </c>
    </row>
    <row r="179" spans="1:11" x14ac:dyDescent="0.2">
      <c r="A179">
        <v>177</v>
      </c>
      <c r="B179" s="31">
        <v>8.85</v>
      </c>
      <c r="C179" s="6">
        <f t="shared" si="11"/>
        <v>-3.8102760421620845</v>
      </c>
      <c r="D179" s="6">
        <f>ABS(SUM(C$2:C179))</f>
        <v>507.13647393405802</v>
      </c>
      <c r="E179" s="6">
        <f t="shared" si="9"/>
        <v>0.36352606594198278</v>
      </c>
      <c r="F179" s="3">
        <f t="shared" si="10"/>
        <v>507.5</v>
      </c>
      <c r="G179" s="28">
        <v>0</v>
      </c>
      <c r="H179" s="15">
        <v>505</v>
      </c>
      <c r="I179" s="15">
        <v>248</v>
      </c>
      <c r="J179" s="15">
        <v>503</v>
      </c>
      <c r="K179" s="15">
        <v>485</v>
      </c>
    </row>
    <row r="180" spans="1:11" x14ac:dyDescent="0.2">
      <c r="A180">
        <v>178</v>
      </c>
      <c r="B180" s="31">
        <v>8.9</v>
      </c>
      <c r="C180" s="6">
        <f t="shared" si="11"/>
        <v>-3.812470521318843</v>
      </c>
      <c r="D180" s="6">
        <f>ABS(SUM(C$2:C180))</f>
        <v>510.94894445537687</v>
      </c>
      <c r="E180" s="6">
        <f t="shared" si="9"/>
        <v>5.1055544623125115E-2</v>
      </c>
      <c r="F180" s="3">
        <f t="shared" si="10"/>
        <v>511</v>
      </c>
      <c r="G180" s="28">
        <v>0</v>
      </c>
      <c r="H180" s="15">
        <v>508</v>
      </c>
      <c r="I180" s="15">
        <v>250</v>
      </c>
      <c r="J180" s="15">
        <v>506</v>
      </c>
      <c r="K180" s="15">
        <v>488</v>
      </c>
    </row>
    <row r="181" spans="1:11" x14ac:dyDescent="0.2">
      <c r="A181">
        <v>179</v>
      </c>
      <c r="B181" s="31">
        <v>8.9499999999999993</v>
      </c>
      <c r="C181" s="6">
        <f t="shared" si="11"/>
        <v>-3.8146211108924657</v>
      </c>
      <c r="D181" s="6">
        <f>ABS(SUM(C$2:C181))</f>
        <v>514.76356556626934</v>
      </c>
      <c r="E181" s="6">
        <f t="shared" si="9"/>
        <v>0.23643443373066475</v>
      </c>
      <c r="F181" s="3">
        <f t="shared" si="10"/>
        <v>515</v>
      </c>
      <c r="G181" s="28">
        <v>0</v>
      </c>
      <c r="H181" s="15">
        <v>512</v>
      </c>
      <c r="I181" s="15">
        <v>252</v>
      </c>
      <c r="J181" s="15">
        <v>510</v>
      </c>
      <c r="K181" s="15">
        <v>492</v>
      </c>
    </row>
    <row r="182" spans="1:11" x14ac:dyDescent="0.2">
      <c r="A182">
        <v>180</v>
      </c>
      <c r="B182" s="31">
        <v>9</v>
      </c>
      <c r="C182" s="6">
        <f t="shared" si="11"/>
        <v>-3.8167286886746163</v>
      </c>
      <c r="D182" s="6">
        <f>ABS(SUM(C$2:C182))</f>
        <v>518.58029425494396</v>
      </c>
      <c r="E182" s="6">
        <f t="shared" si="9"/>
        <v>0.41970574505603508</v>
      </c>
      <c r="F182" s="3">
        <f t="shared" si="10"/>
        <v>519</v>
      </c>
      <c r="G182" s="28">
        <v>0</v>
      </c>
      <c r="H182" s="15">
        <v>516</v>
      </c>
      <c r="I182" s="15">
        <v>254</v>
      </c>
      <c r="J182" s="15">
        <v>514</v>
      </c>
      <c r="K182" s="15">
        <v>496</v>
      </c>
    </row>
    <row r="183" spans="1:11" x14ac:dyDescent="0.2">
      <c r="A183">
        <v>181</v>
      </c>
      <c r="B183" s="31">
        <v>9.0500000000000007</v>
      </c>
      <c r="C183" s="6">
        <f t="shared" si="11"/>
        <v>-3.8187941149011242</v>
      </c>
      <c r="D183" s="6">
        <f>ABS(SUM(C$2:C183))</f>
        <v>522.39908836984512</v>
      </c>
      <c r="E183" s="6">
        <f t="shared" si="9"/>
        <v>0.10091163015488291</v>
      </c>
      <c r="F183" s="3">
        <f t="shared" si="10"/>
        <v>522.5</v>
      </c>
      <c r="G183" s="28">
        <v>0</v>
      </c>
      <c r="H183" s="15">
        <v>520</v>
      </c>
      <c r="I183" s="15">
        <v>256</v>
      </c>
      <c r="J183" s="15">
        <v>518</v>
      </c>
      <c r="K183" s="15">
        <v>500</v>
      </c>
    </row>
    <row r="184" spans="1:11" x14ac:dyDescent="0.2">
      <c r="A184">
        <v>182</v>
      </c>
      <c r="B184" s="31">
        <v>9.1</v>
      </c>
      <c r="C184" s="6">
        <f t="shared" si="11"/>
        <v>-3.8208182326031017</v>
      </c>
      <c r="D184" s="6">
        <f>ABS(SUM(C$2:C184))</f>
        <v>526.21990660244819</v>
      </c>
      <c r="E184" s="6">
        <f t="shared" si="9"/>
        <v>0.28009339755180918</v>
      </c>
      <c r="F184" s="3">
        <f t="shared" si="10"/>
        <v>526.5</v>
      </c>
      <c r="G184" s="28">
        <v>0</v>
      </c>
      <c r="H184" s="15">
        <v>524</v>
      </c>
      <c r="I184" s="15">
        <v>258</v>
      </c>
      <c r="J184" s="15">
        <v>522</v>
      </c>
      <c r="K184" s="15">
        <v>504</v>
      </c>
    </row>
    <row r="185" spans="1:11" x14ac:dyDescent="0.2">
      <c r="A185">
        <v>183</v>
      </c>
      <c r="B185" s="31">
        <v>9.15</v>
      </c>
      <c r="C185" s="6">
        <f t="shared" si="11"/>
        <v>-3.8228018679510396</v>
      </c>
      <c r="D185" s="6">
        <f>ABS(SUM(C$2:C185))</f>
        <v>530.04270847039925</v>
      </c>
      <c r="E185" s="6">
        <f t="shared" si="9"/>
        <v>0.45729152960075226</v>
      </c>
      <c r="F185" s="3">
        <f t="shared" si="10"/>
        <v>530.5</v>
      </c>
      <c r="G185" s="28">
        <v>0</v>
      </c>
      <c r="H185" s="15">
        <v>528</v>
      </c>
      <c r="I185" s="15">
        <v>260</v>
      </c>
      <c r="J185" s="15">
        <v>526</v>
      </c>
      <c r="K185" s="15">
        <v>508</v>
      </c>
    </row>
    <row r="186" spans="1:11" x14ac:dyDescent="0.2">
      <c r="A186">
        <v>184</v>
      </c>
      <c r="B186" s="31">
        <v>9.1999999999999993</v>
      </c>
      <c r="C186" s="6">
        <f t="shared" si="11"/>
        <v>-3.8247458305920188</v>
      </c>
      <c r="D186" s="6">
        <f>ABS(SUM(C$2:C186))</f>
        <v>533.86745430099131</v>
      </c>
      <c r="E186" s="6">
        <f t="shared" si="9"/>
        <v>0.13254569900868773</v>
      </c>
      <c r="F186" s="3">
        <f t="shared" si="10"/>
        <v>534</v>
      </c>
      <c r="G186" s="28">
        <v>0</v>
      </c>
      <c r="H186" s="15">
        <v>531</v>
      </c>
      <c r="I186" s="15">
        <v>261</v>
      </c>
      <c r="J186" s="15">
        <v>529</v>
      </c>
      <c r="K186" s="15">
        <v>511</v>
      </c>
    </row>
    <row r="187" spans="1:11" x14ac:dyDescent="0.2">
      <c r="A187">
        <v>185</v>
      </c>
      <c r="B187" s="31">
        <v>9.25</v>
      </c>
      <c r="C187" s="6">
        <f t="shared" si="11"/>
        <v>-3.8266509139801785</v>
      </c>
      <c r="D187" s="6">
        <f>ABS(SUM(C$2:C187))</f>
        <v>537.6941052149715</v>
      </c>
      <c r="E187" s="6">
        <f t="shared" si="9"/>
        <v>0.30589478502849943</v>
      </c>
      <c r="F187" s="3">
        <f t="shared" si="10"/>
        <v>538</v>
      </c>
      <c r="G187" s="28">
        <v>0</v>
      </c>
      <c r="H187" s="15">
        <v>535</v>
      </c>
      <c r="I187" s="15">
        <v>263</v>
      </c>
      <c r="J187" s="15">
        <v>533</v>
      </c>
      <c r="K187" s="15">
        <v>515</v>
      </c>
    </row>
    <row r="188" spans="1:11" x14ac:dyDescent="0.2">
      <c r="A188">
        <v>186</v>
      </c>
      <c r="B188" s="31">
        <v>9.3000000000000007</v>
      </c>
      <c r="C188" s="6">
        <f t="shared" si="11"/>
        <v>-3.8285178957005748</v>
      </c>
      <c r="D188" s="6">
        <f>ABS(SUM(C$2:C188))</f>
        <v>541.52262311067204</v>
      </c>
      <c r="E188" s="6">
        <f t="shared" si="9"/>
        <v>0.47737688932795663</v>
      </c>
      <c r="F188" s="3">
        <f t="shared" si="10"/>
        <v>542</v>
      </c>
      <c r="G188" s="28">
        <v>0</v>
      </c>
      <c r="H188" s="15">
        <v>539</v>
      </c>
      <c r="I188" s="15">
        <v>265</v>
      </c>
      <c r="J188" s="15">
        <v>537</v>
      </c>
      <c r="K188" s="15">
        <v>519</v>
      </c>
    </row>
    <row r="189" spans="1:11" x14ac:dyDescent="0.2">
      <c r="A189">
        <v>187</v>
      </c>
      <c r="B189" s="31">
        <v>9.35</v>
      </c>
      <c r="C189" s="6">
        <f t="shared" si="11"/>
        <v>-3.8303475377865634</v>
      </c>
      <c r="D189" s="6">
        <f>ABS(SUM(C$2:C189))</f>
        <v>545.35297064845861</v>
      </c>
      <c r="E189" s="6">
        <f t="shared" si="9"/>
        <v>0.14702935154139141</v>
      </c>
      <c r="F189" s="3">
        <f t="shared" si="10"/>
        <v>545.5</v>
      </c>
      <c r="G189" s="28">
        <v>0</v>
      </c>
      <c r="H189" s="15">
        <v>543</v>
      </c>
      <c r="I189" s="15">
        <v>267</v>
      </c>
      <c r="J189" s="15">
        <v>541</v>
      </c>
      <c r="K189" s="15">
        <v>523</v>
      </c>
    </row>
    <row r="190" spans="1:11" x14ac:dyDescent="0.2">
      <c r="A190">
        <v>188</v>
      </c>
      <c r="B190" s="31">
        <v>9.4</v>
      </c>
      <c r="C190" s="6">
        <f t="shared" si="11"/>
        <v>-3.8321405870308323</v>
      </c>
      <c r="D190" s="6">
        <f>ABS(SUM(C$2:C190))</f>
        <v>549.18511123548944</v>
      </c>
      <c r="E190" s="6">
        <f t="shared" si="9"/>
        <v>0.31488876451055603</v>
      </c>
      <c r="F190" s="3">
        <f t="shared" si="10"/>
        <v>549.5</v>
      </c>
      <c r="G190" s="28">
        <v>0</v>
      </c>
      <c r="H190" s="15">
        <v>547</v>
      </c>
      <c r="I190" s="15">
        <v>269</v>
      </c>
      <c r="J190" s="15">
        <v>545</v>
      </c>
      <c r="K190" s="15">
        <v>527</v>
      </c>
    </row>
    <row r="191" spans="1:11" x14ac:dyDescent="0.2">
      <c r="A191">
        <v>189</v>
      </c>
      <c r="B191" s="31">
        <v>9.4499999999999993</v>
      </c>
      <c r="C191" s="6">
        <f t="shared" si="11"/>
        <v>-3.8338977752902155</v>
      </c>
      <c r="D191" s="6">
        <f>ABS(SUM(C$2:C191))</f>
        <v>553.01900901077966</v>
      </c>
      <c r="E191" s="6">
        <f t="shared" si="9"/>
        <v>0.480990989220345</v>
      </c>
      <c r="F191" s="3">
        <f t="shared" si="10"/>
        <v>553.5</v>
      </c>
      <c r="G191" s="28">
        <v>0</v>
      </c>
      <c r="H191" s="15">
        <v>551</v>
      </c>
      <c r="I191" s="15">
        <v>271</v>
      </c>
      <c r="J191" s="15">
        <v>549</v>
      </c>
      <c r="K191" s="15">
        <v>531</v>
      </c>
    </row>
    <row r="192" spans="1:11" x14ac:dyDescent="0.2">
      <c r="A192">
        <v>190</v>
      </c>
      <c r="B192" s="31">
        <v>9.5</v>
      </c>
      <c r="C192" s="6">
        <f t="shared" si="11"/>
        <v>-3.8356198197844114</v>
      </c>
      <c r="D192" s="6">
        <f>ABS(SUM(C$2:C192))</f>
        <v>556.85462883056402</v>
      </c>
      <c r="E192" s="6">
        <f t="shared" si="9"/>
        <v>0.14537116943597539</v>
      </c>
      <c r="F192" s="3">
        <f t="shared" si="10"/>
        <v>557</v>
      </c>
      <c r="G192" s="28">
        <v>0</v>
      </c>
      <c r="H192" s="15">
        <v>554</v>
      </c>
      <c r="I192" s="15">
        <v>273</v>
      </c>
      <c r="J192" s="15">
        <v>552</v>
      </c>
      <c r="K192" s="15">
        <v>534</v>
      </c>
    </row>
    <row r="193" spans="1:11" x14ac:dyDescent="0.2">
      <c r="A193">
        <v>191</v>
      </c>
      <c r="B193" s="31">
        <v>9.5500000000000007</v>
      </c>
      <c r="C193" s="6">
        <f t="shared" si="11"/>
        <v>-3.8373074233887232</v>
      </c>
      <c r="D193" s="6">
        <f>ABS(SUM(C$2:C193))</f>
        <v>560.6919362539528</v>
      </c>
      <c r="E193" s="6">
        <f t="shared" si="9"/>
        <v>0.30806374604719622</v>
      </c>
      <c r="F193" s="3">
        <f t="shared" si="10"/>
        <v>561</v>
      </c>
      <c r="G193" s="28">
        <v>0</v>
      </c>
      <c r="H193" s="15">
        <v>558</v>
      </c>
      <c r="I193" s="15">
        <v>275</v>
      </c>
      <c r="J193" s="15">
        <v>556</v>
      </c>
      <c r="K193" s="15">
        <v>538</v>
      </c>
    </row>
    <row r="194" spans="1:11" x14ac:dyDescent="0.2">
      <c r="A194">
        <v>192</v>
      </c>
      <c r="B194" s="31">
        <v>9.6</v>
      </c>
      <c r="C194" s="6">
        <f t="shared" ref="C194:C200" si="12">((0.98 ^ A194) - 1) * 3.92</f>
        <v>-3.838961274920949</v>
      </c>
      <c r="D194" s="6">
        <f>ABS(SUM(C$2:C194))</f>
        <v>564.53089752887377</v>
      </c>
      <c r="E194" s="6">
        <f t="shared" si="9"/>
        <v>0.46910247112623438</v>
      </c>
      <c r="F194" s="3">
        <f t="shared" si="10"/>
        <v>565</v>
      </c>
      <c r="G194" s="28">
        <v>0</v>
      </c>
      <c r="H194" s="15">
        <v>562</v>
      </c>
      <c r="I194" s="15">
        <v>277</v>
      </c>
      <c r="J194" s="15">
        <v>560</v>
      </c>
      <c r="K194" s="15">
        <v>542</v>
      </c>
    </row>
    <row r="195" spans="1:11" x14ac:dyDescent="0.2">
      <c r="A195">
        <v>193</v>
      </c>
      <c r="B195" s="31">
        <v>9.65</v>
      </c>
      <c r="C195" s="6">
        <f t="shared" si="12"/>
        <v>-3.8405820494225296</v>
      </c>
      <c r="D195" s="6">
        <f>ABS(SUM(C$2:C195))</f>
        <v>568.37147957829632</v>
      </c>
      <c r="E195" s="6">
        <f t="shared" ref="E195:E200" si="13">_xlfn.CEILING.MATH(D195, 0.5)-D195</f>
        <v>0.1285204217036835</v>
      </c>
      <c r="F195" s="3">
        <f t="shared" ref="F195:F200" si="14">_xlfn.CEILING.MATH(D195, 0.5)</f>
        <v>568.5</v>
      </c>
      <c r="G195" s="28">
        <v>0</v>
      </c>
      <c r="H195" s="15">
        <v>566</v>
      </c>
      <c r="I195" s="15">
        <v>279</v>
      </c>
      <c r="J195" s="15">
        <v>564</v>
      </c>
      <c r="K195" s="15">
        <v>546</v>
      </c>
    </row>
    <row r="196" spans="1:11" x14ac:dyDescent="0.2">
      <c r="A196">
        <v>194</v>
      </c>
      <c r="B196" s="31">
        <v>9.6999999999999993</v>
      </c>
      <c r="C196" s="6">
        <f t="shared" si="12"/>
        <v>-3.8421704084340789</v>
      </c>
      <c r="D196" s="6">
        <f>ABS(SUM(C$2:C196))</f>
        <v>572.21364998673039</v>
      </c>
      <c r="E196" s="6">
        <f t="shared" si="13"/>
        <v>0.28635001326961174</v>
      </c>
      <c r="F196" s="3">
        <f t="shared" si="14"/>
        <v>572.5</v>
      </c>
      <c r="G196" s="28">
        <v>0</v>
      </c>
      <c r="H196" s="15">
        <v>570</v>
      </c>
      <c r="I196" s="15">
        <v>281</v>
      </c>
      <c r="J196" s="15">
        <v>568</v>
      </c>
      <c r="K196" s="15">
        <v>550</v>
      </c>
    </row>
    <row r="197" spans="1:11" x14ac:dyDescent="0.2">
      <c r="A197">
        <v>195</v>
      </c>
      <c r="B197" s="31">
        <v>9.75</v>
      </c>
      <c r="C197" s="6">
        <f t="shared" si="12"/>
        <v>-3.8437270002653974</v>
      </c>
      <c r="D197" s="6">
        <f>ABS(SUM(C$2:C197))</f>
        <v>576.05737698699579</v>
      </c>
      <c r="E197" s="6">
        <f t="shared" si="13"/>
        <v>0.44262301300420859</v>
      </c>
      <c r="F197" s="3">
        <f t="shared" si="14"/>
        <v>576.5</v>
      </c>
      <c r="G197" s="28">
        <v>0</v>
      </c>
      <c r="H197" s="15">
        <v>574</v>
      </c>
      <c r="I197" s="15">
        <v>283</v>
      </c>
      <c r="J197" s="15">
        <v>572</v>
      </c>
      <c r="K197" s="15">
        <v>554</v>
      </c>
    </row>
    <row r="198" spans="1:11" x14ac:dyDescent="0.2">
      <c r="A198">
        <v>196</v>
      </c>
      <c r="B198" s="31">
        <v>9.8000000000000007</v>
      </c>
      <c r="C198" s="6">
        <f t="shared" si="12"/>
        <v>-3.8452524602600895</v>
      </c>
      <c r="D198" s="6">
        <f>ABS(SUM(C$2:C198))</f>
        <v>579.90262944725589</v>
      </c>
      <c r="E198" s="6">
        <f t="shared" si="13"/>
        <v>9.7370552744109773E-2</v>
      </c>
      <c r="F198" s="3">
        <f t="shared" si="14"/>
        <v>580</v>
      </c>
      <c r="G198" s="28">
        <v>0</v>
      </c>
      <c r="H198" s="15">
        <v>577</v>
      </c>
      <c r="I198" s="15">
        <v>284</v>
      </c>
      <c r="J198" s="15">
        <v>575</v>
      </c>
      <c r="K198" s="15">
        <v>557</v>
      </c>
    </row>
    <row r="199" spans="1:11" x14ac:dyDescent="0.2">
      <c r="A199">
        <v>197</v>
      </c>
      <c r="B199" s="31">
        <v>9.85</v>
      </c>
      <c r="C199" s="6">
        <f t="shared" si="12"/>
        <v>-3.8467474110548876</v>
      </c>
      <c r="D199" s="6">
        <f>ABS(SUM(C$2:C199))</f>
        <v>583.74937685831082</v>
      </c>
      <c r="E199" s="6">
        <f t="shared" si="13"/>
        <v>0.2506231416891751</v>
      </c>
      <c r="F199" s="3">
        <f t="shared" si="14"/>
        <v>584</v>
      </c>
      <c r="G199" s="28">
        <v>0</v>
      </c>
      <c r="H199" s="15">
        <v>581</v>
      </c>
      <c r="I199" s="15">
        <v>286</v>
      </c>
      <c r="J199" s="15">
        <v>579</v>
      </c>
      <c r="K199" s="15">
        <v>561</v>
      </c>
    </row>
    <row r="200" spans="1:11" x14ac:dyDescent="0.2">
      <c r="A200">
        <v>198</v>
      </c>
      <c r="B200" s="31">
        <v>9.9</v>
      </c>
      <c r="C200" s="6">
        <f t="shared" si="12"/>
        <v>-3.8482124628337897</v>
      </c>
      <c r="D200" s="6">
        <f>ABS(SUM(C$2:C200))</f>
        <v>587.5975893211446</v>
      </c>
      <c r="E200" s="6">
        <f t="shared" si="13"/>
        <v>0.4024106788554036</v>
      </c>
      <c r="F200" s="3">
        <f t="shared" si="14"/>
        <v>588</v>
      </c>
      <c r="G200" s="28">
        <v>0</v>
      </c>
      <c r="H200" s="15">
        <v>585</v>
      </c>
      <c r="I200" s="15">
        <v>288</v>
      </c>
      <c r="J200" s="15">
        <v>583</v>
      </c>
      <c r="K200" s="15">
        <v>565</v>
      </c>
    </row>
    <row r="201" spans="1:11" x14ac:dyDescent="0.2">
      <c r="B201" s="31"/>
      <c r="C201" s="6"/>
      <c r="D201" s="6"/>
      <c r="E201" s="6"/>
      <c r="F201" s="3"/>
      <c r="G201" s="29"/>
      <c r="H201" s="15"/>
      <c r="I201" s="15"/>
    </row>
    <row r="202" spans="1:11" x14ac:dyDescent="0.2">
      <c r="B202" s="31"/>
      <c r="C202" s="6"/>
      <c r="D202" s="6"/>
      <c r="E202" s="6"/>
      <c r="F202" s="3"/>
      <c r="G202" s="29"/>
      <c r="H202" s="15"/>
      <c r="I202" s="15"/>
    </row>
    <row r="203" spans="1:11" x14ac:dyDescent="0.2">
      <c r="B203" s="31"/>
      <c r="C203" s="6"/>
      <c r="D203" s="6"/>
      <c r="E203" s="6"/>
      <c r="F203" s="3"/>
      <c r="G203" s="29"/>
      <c r="H203" s="15"/>
      <c r="I203" s="15"/>
    </row>
    <row r="204" spans="1:11" x14ac:dyDescent="0.2">
      <c r="B204" s="31"/>
      <c r="C204" s="6"/>
      <c r="D204" s="6"/>
      <c r="E204" s="6"/>
      <c r="F204" s="3"/>
      <c r="G204" s="29"/>
      <c r="H204" s="15"/>
      <c r="I204" s="15"/>
    </row>
    <row r="205" spans="1:11" x14ac:dyDescent="0.2">
      <c r="B205" s="31"/>
      <c r="C205" s="6"/>
      <c r="D205" s="6"/>
      <c r="E205" s="6"/>
      <c r="F205" s="3"/>
      <c r="G205" s="29"/>
      <c r="H205" s="15"/>
      <c r="I205" s="15"/>
    </row>
    <row r="206" spans="1:11" x14ac:dyDescent="0.2">
      <c r="B206" s="31"/>
      <c r="C206" s="6"/>
      <c r="D206" s="6"/>
      <c r="E206" s="6"/>
      <c r="F206" s="3"/>
      <c r="G206" s="29"/>
      <c r="H206" s="15"/>
      <c r="I206" s="15"/>
    </row>
    <row r="207" spans="1:11" x14ac:dyDescent="0.2">
      <c r="B207" s="31"/>
      <c r="C207" s="6"/>
      <c r="D207" s="6"/>
      <c r="E207" s="6"/>
      <c r="F207" s="3"/>
      <c r="G207" s="29"/>
      <c r="H207" s="15"/>
      <c r="I207" s="15"/>
    </row>
    <row r="208" spans="1:11" x14ac:dyDescent="0.2">
      <c r="B208" s="31"/>
      <c r="C208" s="6"/>
      <c r="D208" s="6"/>
      <c r="E208" s="6"/>
      <c r="F208" s="3"/>
      <c r="G208" s="29"/>
      <c r="H208" s="15"/>
      <c r="I208" s="15"/>
    </row>
    <row r="209" spans="2:9" x14ac:dyDescent="0.2">
      <c r="B209" s="31"/>
      <c r="C209" s="6"/>
      <c r="D209" s="6"/>
      <c r="E209" s="6"/>
      <c r="F209" s="3"/>
      <c r="G209" s="29"/>
      <c r="H209" s="15"/>
      <c r="I209" s="15"/>
    </row>
    <row r="210" spans="2:9" x14ac:dyDescent="0.2">
      <c r="B210" s="31"/>
      <c r="C210" s="6"/>
      <c r="D210" s="6"/>
      <c r="E210" s="6"/>
      <c r="F210" s="3"/>
      <c r="G210" s="29"/>
      <c r="H210" s="15"/>
      <c r="I210" s="15"/>
    </row>
    <row r="211" spans="2:9" x14ac:dyDescent="0.2">
      <c r="B211" s="31"/>
      <c r="C211" s="6"/>
      <c r="D211" s="6"/>
      <c r="E211" s="6"/>
      <c r="F211" s="3"/>
      <c r="G211" s="29"/>
      <c r="H211" s="15"/>
      <c r="I211" s="15"/>
    </row>
    <row r="212" spans="2:9" x14ac:dyDescent="0.2">
      <c r="B212" s="31"/>
      <c r="C212" s="6"/>
      <c r="D212" s="6"/>
      <c r="E212" s="6"/>
      <c r="F212" s="3"/>
      <c r="G212" s="29"/>
      <c r="H212" s="15"/>
      <c r="I212" s="15"/>
    </row>
    <row r="213" spans="2:9" x14ac:dyDescent="0.2">
      <c r="B213" s="31"/>
      <c r="C213" s="6"/>
      <c r="D213" s="6"/>
      <c r="E213" s="6"/>
      <c r="F213" s="3"/>
      <c r="G213" s="29"/>
      <c r="H213" s="15"/>
      <c r="I213" s="15"/>
    </row>
    <row r="214" spans="2:9" x14ac:dyDescent="0.2">
      <c r="B214" s="31"/>
      <c r="C214" s="6"/>
      <c r="D214" s="6"/>
      <c r="E214" s="6"/>
      <c r="F214" s="3"/>
      <c r="G214" s="29"/>
      <c r="H214" s="15"/>
      <c r="I214" s="15"/>
    </row>
    <row r="215" spans="2:9" x14ac:dyDescent="0.2">
      <c r="B215" s="31"/>
      <c r="C215" s="6"/>
      <c r="D215" s="6"/>
      <c r="E215" s="6"/>
      <c r="F215" s="3"/>
      <c r="G215" s="29"/>
      <c r="H215" s="15"/>
      <c r="I215" s="15"/>
    </row>
    <row r="216" spans="2:9" x14ac:dyDescent="0.2">
      <c r="B216" s="31"/>
      <c r="C216" s="6"/>
      <c r="D216" s="6"/>
      <c r="E216" s="6"/>
      <c r="F216" s="3"/>
      <c r="G216" s="29"/>
      <c r="H216" s="15"/>
      <c r="I216" s="15"/>
    </row>
    <row r="217" spans="2:9" x14ac:dyDescent="0.2">
      <c r="B217" s="31"/>
      <c r="C217" s="6"/>
      <c r="D217" s="6"/>
      <c r="E217" s="6"/>
      <c r="F217" s="3"/>
      <c r="G217" s="29"/>
      <c r="H217" s="15"/>
      <c r="I217" s="15"/>
    </row>
    <row r="218" spans="2:9" x14ac:dyDescent="0.2">
      <c r="B218" s="31"/>
      <c r="C218" s="6"/>
      <c r="D218" s="6"/>
      <c r="E218" s="6"/>
      <c r="F218" s="3"/>
      <c r="G218" s="29"/>
      <c r="H218" s="15"/>
      <c r="I218" s="15"/>
    </row>
    <row r="219" spans="2:9" x14ac:dyDescent="0.2">
      <c r="B219" s="31"/>
      <c r="C219" s="6"/>
      <c r="D219" s="6"/>
      <c r="E219" s="6"/>
      <c r="F219" s="3"/>
      <c r="G219" s="29"/>
      <c r="H219" s="15"/>
      <c r="I219" s="15"/>
    </row>
    <row r="220" spans="2:9" x14ac:dyDescent="0.2">
      <c r="B220" s="31"/>
      <c r="C220" s="6"/>
      <c r="D220" s="6"/>
      <c r="E220" s="6"/>
      <c r="F220" s="3"/>
      <c r="G220" s="29"/>
      <c r="H220" s="15"/>
      <c r="I220" s="15"/>
    </row>
    <row r="221" spans="2:9" x14ac:dyDescent="0.2">
      <c r="B221" s="31"/>
      <c r="C221" s="6"/>
      <c r="D221" s="6"/>
      <c r="E221" s="6"/>
      <c r="F221" s="3"/>
      <c r="G221" s="29"/>
      <c r="H221" s="15"/>
      <c r="I221" s="15"/>
    </row>
    <row r="222" spans="2:9" x14ac:dyDescent="0.2">
      <c r="B222" s="31"/>
      <c r="C222" s="6"/>
      <c r="D222" s="6"/>
      <c r="E222" s="6"/>
      <c r="F222" s="3"/>
      <c r="G222" s="29"/>
      <c r="H222" s="15"/>
      <c r="I222" s="15"/>
    </row>
    <row r="223" spans="2:9" x14ac:dyDescent="0.2">
      <c r="B223" s="31"/>
      <c r="C223" s="6"/>
      <c r="D223" s="6"/>
      <c r="E223" s="6"/>
      <c r="F223" s="3"/>
      <c r="G223" s="29"/>
      <c r="H223" s="15"/>
      <c r="I223" s="15"/>
    </row>
    <row r="224" spans="2:9" x14ac:dyDescent="0.2">
      <c r="B224" s="31"/>
      <c r="C224" s="6"/>
      <c r="D224" s="6"/>
      <c r="E224" s="6"/>
      <c r="F224" s="3"/>
      <c r="G224" s="29"/>
      <c r="H224" s="15"/>
      <c r="I224" s="15"/>
    </row>
    <row r="225" spans="2:9" x14ac:dyDescent="0.2">
      <c r="B225" s="31"/>
      <c r="C225" s="6"/>
      <c r="D225" s="6"/>
      <c r="E225" s="6"/>
      <c r="F225" s="3"/>
      <c r="G225" s="29"/>
      <c r="H225" s="15"/>
      <c r="I225" s="15"/>
    </row>
    <row r="226" spans="2:9" x14ac:dyDescent="0.2">
      <c r="B226" s="31"/>
      <c r="C226" s="6"/>
      <c r="D226" s="6"/>
      <c r="E226" s="6"/>
      <c r="F226" s="3"/>
      <c r="G226" s="29"/>
      <c r="H226" s="15"/>
      <c r="I226" s="15"/>
    </row>
    <row r="227" spans="2:9" x14ac:dyDescent="0.2">
      <c r="B227" s="31"/>
      <c r="C227" s="6"/>
      <c r="D227" s="6"/>
      <c r="E227" s="6"/>
      <c r="F227" s="3"/>
      <c r="G227" s="29"/>
      <c r="H227" s="15"/>
      <c r="I227" s="15"/>
    </row>
    <row r="228" spans="2:9" x14ac:dyDescent="0.2">
      <c r="B228" s="31"/>
      <c r="C228" s="6"/>
      <c r="D228" s="6"/>
      <c r="E228" s="6"/>
      <c r="F228" s="3"/>
      <c r="G228" s="29"/>
      <c r="H228" s="15"/>
      <c r="I228" s="15"/>
    </row>
    <row r="229" spans="2:9" x14ac:dyDescent="0.2">
      <c r="B229" s="31"/>
      <c r="C229" s="6"/>
      <c r="D229" s="6"/>
      <c r="E229" s="6"/>
      <c r="F229" s="3"/>
      <c r="G229" s="29"/>
      <c r="H229" s="15"/>
      <c r="I229" s="15"/>
    </row>
    <row r="230" spans="2:9" x14ac:dyDescent="0.2">
      <c r="B230" s="31"/>
      <c r="C230" s="6"/>
      <c r="D230" s="6"/>
      <c r="E230" s="6"/>
      <c r="F230" s="3"/>
      <c r="G230" s="29"/>
      <c r="H230" s="15"/>
      <c r="I230" s="15"/>
    </row>
    <row r="231" spans="2:9" x14ac:dyDescent="0.2">
      <c r="B231" s="31"/>
      <c r="C231" s="6"/>
      <c r="D231" s="6"/>
      <c r="E231" s="6"/>
      <c r="F231" s="3"/>
      <c r="G231" s="29"/>
      <c r="H231" s="15"/>
      <c r="I231" s="15"/>
    </row>
    <row r="232" spans="2:9" x14ac:dyDescent="0.2">
      <c r="B232" s="31"/>
      <c r="C232" s="6"/>
      <c r="D232" s="6"/>
      <c r="E232" s="6"/>
      <c r="F232" s="3"/>
      <c r="G232" s="29"/>
      <c r="H232" s="15"/>
      <c r="I232" s="15"/>
    </row>
    <row r="233" spans="2:9" x14ac:dyDescent="0.2">
      <c r="B233" s="31"/>
      <c r="C233" s="6"/>
      <c r="D233" s="6"/>
      <c r="E233" s="6"/>
      <c r="F233" s="3"/>
      <c r="G233" s="29"/>
      <c r="H233" s="15"/>
      <c r="I233" s="15"/>
    </row>
    <row r="234" spans="2:9" x14ac:dyDescent="0.2">
      <c r="B234" s="31"/>
      <c r="C234" s="6"/>
      <c r="D234" s="6"/>
      <c r="E234" s="6"/>
      <c r="F234" s="3"/>
      <c r="G234" s="29"/>
      <c r="H234" s="15"/>
      <c r="I234" s="15"/>
    </row>
    <row r="235" spans="2:9" x14ac:dyDescent="0.2">
      <c r="B235" s="31"/>
      <c r="C235" s="6"/>
      <c r="D235" s="6"/>
      <c r="E235" s="6"/>
      <c r="F235" s="3"/>
      <c r="G235" s="29"/>
      <c r="H235" s="15"/>
      <c r="I235" s="15"/>
    </row>
    <row r="236" spans="2:9" x14ac:dyDescent="0.2">
      <c r="B236" s="31"/>
      <c r="C236" s="6"/>
      <c r="D236" s="6"/>
      <c r="E236" s="6"/>
      <c r="F236" s="3"/>
      <c r="G236" s="29"/>
      <c r="H236" s="15"/>
      <c r="I236" s="15"/>
    </row>
    <row r="237" spans="2:9" x14ac:dyDescent="0.2">
      <c r="B237" s="31"/>
      <c r="C237" s="6"/>
      <c r="D237" s="6"/>
      <c r="E237" s="6"/>
      <c r="F237" s="3"/>
      <c r="G237" s="29"/>
      <c r="H237" s="15"/>
      <c r="I237" s="15"/>
    </row>
    <row r="238" spans="2:9" x14ac:dyDescent="0.2">
      <c r="B238" s="31"/>
      <c r="C238" s="6"/>
      <c r="D238" s="6"/>
      <c r="E238" s="6"/>
      <c r="F238" s="3"/>
      <c r="G238" s="29"/>
      <c r="H238" s="15"/>
      <c r="I238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901D-A1FF-3B41-A2B9-2E6F8AB53762}">
  <dimension ref="A1:C49"/>
  <sheetViews>
    <sheetView workbookViewId="0">
      <selection activeCell="I5" sqref="I5"/>
    </sheetView>
  </sheetViews>
  <sheetFormatPr baseColWidth="10" defaultRowHeight="16" x14ac:dyDescent="0.2"/>
  <cols>
    <col min="1" max="1" width="11.6640625" bestFit="1" customWidth="1"/>
    <col min="2" max="2" width="17.6640625" bestFit="1" customWidth="1"/>
    <col min="3" max="3" width="16.6640625" bestFit="1" customWidth="1"/>
  </cols>
  <sheetData>
    <row r="1" spans="1:3" x14ac:dyDescent="0.2">
      <c r="A1" s="16" t="s">
        <v>88</v>
      </c>
      <c r="B1" s="16" t="s">
        <v>91</v>
      </c>
      <c r="C1" s="16" t="s">
        <v>87</v>
      </c>
    </row>
    <row r="2" spans="1:3" x14ac:dyDescent="0.2">
      <c r="A2" s="3">
        <v>0</v>
      </c>
      <c r="B2" s="15">
        <f t="shared" ref="B2:B49" si="0">_xlfn.CEILING.MATH(MAX(0, A2-3))</f>
        <v>0</v>
      </c>
      <c r="C2">
        <v>0</v>
      </c>
    </row>
    <row r="3" spans="1:3" x14ac:dyDescent="0.2">
      <c r="A3" s="3">
        <v>0.5</v>
      </c>
      <c r="B3" s="15">
        <f t="shared" si="0"/>
        <v>0</v>
      </c>
      <c r="C3">
        <v>0</v>
      </c>
    </row>
    <row r="4" spans="1:3" x14ac:dyDescent="0.2">
      <c r="A4" s="3">
        <v>1</v>
      </c>
      <c r="B4" s="15">
        <f t="shared" si="0"/>
        <v>0</v>
      </c>
      <c r="C4">
        <v>0</v>
      </c>
    </row>
    <row r="5" spans="1:3" x14ac:dyDescent="0.2">
      <c r="A5" s="3">
        <v>1.5</v>
      </c>
      <c r="B5" s="15">
        <f t="shared" si="0"/>
        <v>0</v>
      </c>
      <c r="C5">
        <v>0</v>
      </c>
    </row>
    <row r="6" spans="1:3" x14ac:dyDescent="0.2">
      <c r="A6" s="3">
        <v>2</v>
      </c>
      <c r="B6" s="15">
        <f t="shared" si="0"/>
        <v>0</v>
      </c>
      <c r="C6">
        <v>0</v>
      </c>
    </row>
    <row r="7" spans="1:3" x14ac:dyDescent="0.2">
      <c r="A7" s="3">
        <v>2.5</v>
      </c>
      <c r="B7" s="15">
        <f t="shared" si="0"/>
        <v>0</v>
      </c>
      <c r="C7">
        <v>0</v>
      </c>
    </row>
    <row r="8" spans="1:3" x14ac:dyDescent="0.2">
      <c r="A8" s="3">
        <v>3</v>
      </c>
      <c r="B8" s="15">
        <f t="shared" si="0"/>
        <v>0</v>
      </c>
      <c r="C8">
        <v>0</v>
      </c>
    </row>
    <row r="9" spans="1:3" x14ac:dyDescent="0.2">
      <c r="A9" s="3">
        <v>3.5</v>
      </c>
      <c r="B9" s="15">
        <f t="shared" si="0"/>
        <v>1</v>
      </c>
      <c r="C9">
        <v>1</v>
      </c>
    </row>
    <row r="10" spans="1:3" x14ac:dyDescent="0.2">
      <c r="A10" s="3">
        <v>4</v>
      </c>
      <c r="B10" s="15">
        <f t="shared" si="0"/>
        <v>1</v>
      </c>
      <c r="C10">
        <v>1</v>
      </c>
    </row>
    <row r="11" spans="1:3" x14ac:dyDescent="0.2">
      <c r="A11" s="3">
        <v>4.5</v>
      </c>
      <c r="B11" s="15">
        <f t="shared" si="0"/>
        <v>2</v>
      </c>
      <c r="C11">
        <v>2</v>
      </c>
    </row>
    <row r="12" spans="1:3" x14ac:dyDescent="0.2">
      <c r="A12" s="3">
        <v>5</v>
      </c>
      <c r="B12" s="15">
        <f t="shared" si="0"/>
        <v>2</v>
      </c>
      <c r="C12">
        <v>2</v>
      </c>
    </row>
    <row r="13" spans="1:3" x14ac:dyDescent="0.2">
      <c r="A13" s="3">
        <v>5.5</v>
      </c>
      <c r="B13" s="15">
        <f t="shared" si="0"/>
        <v>3</v>
      </c>
      <c r="C13">
        <v>2</v>
      </c>
    </row>
    <row r="14" spans="1:3" x14ac:dyDescent="0.2">
      <c r="A14" s="3">
        <v>6</v>
      </c>
      <c r="B14" s="15">
        <f t="shared" si="0"/>
        <v>3</v>
      </c>
      <c r="C14">
        <v>3</v>
      </c>
    </row>
    <row r="15" spans="1:3" x14ac:dyDescent="0.2">
      <c r="A15" s="3">
        <v>6.5</v>
      </c>
      <c r="B15" s="15">
        <f t="shared" si="0"/>
        <v>4</v>
      </c>
      <c r="C15">
        <v>3</v>
      </c>
    </row>
    <row r="16" spans="1:3" x14ac:dyDescent="0.2">
      <c r="A16" s="3">
        <v>7</v>
      </c>
      <c r="B16" s="15">
        <f t="shared" si="0"/>
        <v>4</v>
      </c>
      <c r="C16">
        <v>4</v>
      </c>
    </row>
    <row r="17" spans="1:3" x14ac:dyDescent="0.2">
      <c r="A17" s="3">
        <v>7.5</v>
      </c>
      <c r="B17" s="15">
        <f t="shared" si="0"/>
        <v>5</v>
      </c>
      <c r="C17">
        <v>4</v>
      </c>
    </row>
    <row r="18" spans="1:3" x14ac:dyDescent="0.2">
      <c r="A18" s="3">
        <v>8</v>
      </c>
      <c r="B18" s="15">
        <f t="shared" si="0"/>
        <v>5</v>
      </c>
      <c r="C18">
        <v>5</v>
      </c>
    </row>
    <row r="19" spans="1:3" x14ac:dyDescent="0.2">
      <c r="A19" s="3">
        <v>8.5</v>
      </c>
      <c r="B19" s="15">
        <f t="shared" si="0"/>
        <v>6</v>
      </c>
      <c r="C19">
        <v>5</v>
      </c>
    </row>
    <row r="20" spans="1:3" x14ac:dyDescent="0.2">
      <c r="A20" s="3">
        <v>9</v>
      </c>
      <c r="B20" s="15">
        <f t="shared" si="0"/>
        <v>6</v>
      </c>
      <c r="C20">
        <v>6</v>
      </c>
    </row>
    <row r="21" spans="1:3" x14ac:dyDescent="0.2">
      <c r="A21" s="3">
        <v>9.5</v>
      </c>
      <c r="B21" s="15">
        <f t="shared" si="0"/>
        <v>7</v>
      </c>
      <c r="C21">
        <v>6</v>
      </c>
    </row>
    <row r="22" spans="1:3" x14ac:dyDescent="0.2">
      <c r="A22" s="3">
        <v>10</v>
      </c>
      <c r="B22" s="15">
        <f t="shared" si="0"/>
        <v>7</v>
      </c>
      <c r="C22">
        <v>7</v>
      </c>
    </row>
    <row r="23" spans="1:3" x14ac:dyDescent="0.2">
      <c r="A23" s="3">
        <v>10.5</v>
      </c>
      <c r="B23" s="15">
        <f t="shared" si="0"/>
        <v>8</v>
      </c>
      <c r="C23">
        <v>7</v>
      </c>
    </row>
    <row r="24" spans="1:3" x14ac:dyDescent="0.2">
      <c r="A24" s="3">
        <v>11</v>
      </c>
      <c r="B24" s="15">
        <f t="shared" si="0"/>
        <v>8</v>
      </c>
      <c r="C24">
        <v>8</v>
      </c>
    </row>
    <row r="25" spans="1:3" x14ac:dyDescent="0.2">
      <c r="A25" s="3">
        <v>11.5</v>
      </c>
      <c r="B25" s="15">
        <f t="shared" si="0"/>
        <v>9</v>
      </c>
      <c r="C25">
        <v>8</v>
      </c>
    </row>
    <row r="26" spans="1:3" x14ac:dyDescent="0.2">
      <c r="A26" s="3">
        <v>12</v>
      </c>
      <c r="B26" s="15">
        <f t="shared" si="0"/>
        <v>9</v>
      </c>
      <c r="C26">
        <v>8</v>
      </c>
    </row>
    <row r="27" spans="1:3" x14ac:dyDescent="0.2">
      <c r="A27" s="3">
        <v>12.5</v>
      </c>
      <c r="B27" s="15">
        <f t="shared" si="0"/>
        <v>10</v>
      </c>
      <c r="C27">
        <v>10</v>
      </c>
    </row>
    <row r="28" spans="1:3" x14ac:dyDescent="0.2">
      <c r="A28" s="3">
        <v>13</v>
      </c>
      <c r="B28" s="15">
        <f t="shared" si="0"/>
        <v>10</v>
      </c>
      <c r="C28">
        <v>10</v>
      </c>
    </row>
    <row r="29" spans="1:3" x14ac:dyDescent="0.2">
      <c r="A29" s="3">
        <v>13.5</v>
      </c>
      <c r="B29" s="15">
        <f t="shared" si="0"/>
        <v>11</v>
      </c>
      <c r="C29">
        <v>11</v>
      </c>
    </row>
    <row r="30" spans="1:3" x14ac:dyDescent="0.2">
      <c r="A30" s="3">
        <v>14</v>
      </c>
      <c r="B30" s="15">
        <f t="shared" si="0"/>
        <v>11</v>
      </c>
      <c r="C30">
        <v>11</v>
      </c>
    </row>
    <row r="31" spans="1:3" x14ac:dyDescent="0.2">
      <c r="A31" s="3">
        <v>14.5</v>
      </c>
      <c r="B31" s="15">
        <f t="shared" si="0"/>
        <v>12</v>
      </c>
      <c r="C31">
        <v>11</v>
      </c>
    </row>
    <row r="32" spans="1:3" x14ac:dyDescent="0.2">
      <c r="A32" s="3">
        <v>15</v>
      </c>
      <c r="B32" s="15">
        <f t="shared" si="0"/>
        <v>12</v>
      </c>
      <c r="C32">
        <v>12</v>
      </c>
    </row>
    <row r="33" spans="1:3" x14ac:dyDescent="0.2">
      <c r="A33" s="3">
        <v>15.5</v>
      </c>
      <c r="B33" s="15">
        <f t="shared" si="0"/>
        <v>13</v>
      </c>
      <c r="C33">
        <v>12</v>
      </c>
    </row>
    <row r="34" spans="1:3" x14ac:dyDescent="0.2">
      <c r="A34" s="3">
        <v>16</v>
      </c>
      <c r="B34" s="15">
        <f t="shared" si="0"/>
        <v>13</v>
      </c>
      <c r="C34">
        <v>13</v>
      </c>
    </row>
    <row r="35" spans="1:3" x14ac:dyDescent="0.2">
      <c r="A35" s="3">
        <v>16.5</v>
      </c>
      <c r="B35" s="15">
        <f t="shared" si="0"/>
        <v>14</v>
      </c>
      <c r="C35">
        <v>13</v>
      </c>
    </row>
    <row r="36" spans="1:3" x14ac:dyDescent="0.2">
      <c r="A36" s="3">
        <v>17</v>
      </c>
      <c r="B36" s="15">
        <f t="shared" si="0"/>
        <v>14</v>
      </c>
      <c r="C36">
        <v>13</v>
      </c>
    </row>
    <row r="37" spans="1:3" x14ac:dyDescent="0.2">
      <c r="A37" s="3">
        <v>17.5</v>
      </c>
      <c r="B37" s="15">
        <f t="shared" si="0"/>
        <v>15</v>
      </c>
      <c r="C37">
        <v>15</v>
      </c>
    </row>
    <row r="38" spans="1:3" x14ac:dyDescent="0.2">
      <c r="A38" s="3">
        <v>18</v>
      </c>
      <c r="B38" s="15">
        <f t="shared" si="0"/>
        <v>15</v>
      </c>
      <c r="C38">
        <v>15</v>
      </c>
    </row>
    <row r="39" spans="1:3" x14ac:dyDescent="0.2">
      <c r="A39" s="3">
        <v>18.5</v>
      </c>
      <c r="B39" s="15">
        <f t="shared" si="0"/>
        <v>16</v>
      </c>
      <c r="C39">
        <v>15</v>
      </c>
    </row>
    <row r="40" spans="1:3" x14ac:dyDescent="0.2">
      <c r="A40" s="3">
        <v>19</v>
      </c>
      <c r="B40" s="15">
        <f t="shared" si="0"/>
        <v>16</v>
      </c>
      <c r="C40">
        <v>16</v>
      </c>
    </row>
    <row r="41" spans="1:3" x14ac:dyDescent="0.2">
      <c r="A41" s="3">
        <v>19.5</v>
      </c>
      <c r="B41" s="15">
        <f t="shared" si="0"/>
        <v>17</v>
      </c>
      <c r="C41">
        <v>16</v>
      </c>
    </row>
    <row r="42" spans="1:3" x14ac:dyDescent="0.2">
      <c r="A42" s="3">
        <v>20</v>
      </c>
      <c r="B42" s="15">
        <f t="shared" si="0"/>
        <v>17</v>
      </c>
      <c r="C42">
        <v>16</v>
      </c>
    </row>
    <row r="43" spans="1:3" x14ac:dyDescent="0.2">
      <c r="A43" s="3">
        <v>20.5</v>
      </c>
      <c r="B43" s="15">
        <f t="shared" si="0"/>
        <v>18</v>
      </c>
      <c r="C43">
        <v>18</v>
      </c>
    </row>
    <row r="44" spans="1:3" x14ac:dyDescent="0.2">
      <c r="A44" s="3">
        <v>21</v>
      </c>
      <c r="B44" s="15">
        <f t="shared" si="0"/>
        <v>18</v>
      </c>
      <c r="C44">
        <v>18</v>
      </c>
    </row>
    <row r="45" spans="1:3" x14ac:dyDescent="0.2">
      <c r="A45" s="3">
        <v>21.5</v>
      </c>
      <c r="B45" s="15">
        <f t="shared" si="0"/>
        <v>19</v>
      </c>
      <c r="C45">
        <v>18</v>
      </c>
    </row>
    <row r="46" spans="1:3" x14ac:dyDescent="0.2">
      <c r="A46" s="3">
        <v>22</v>
      </c>
      <c r="B46" s="15">
        <f t="shared" si="0"/>
        <v>19</v>
      </c>
      <c r="C46">
        <v>19</v>
      </c>
    </row>
    <row r="47" spans="1:3" x14ac:dyDescent="0.2">
      <c r="A47" s="3">
        <v>22.5</v>
      </c>
      <c r="B47" s="15">
        <f t="shared" si="0"/>
        <v>20</v>
      </c>
      <c r="C47">
        <v>19</v>
      </c>
    </row>
    <row r="48" spans="1:3" x14ac:dyDescent="0.2">
      <c r="A48" s="3">
        <v>23</v>
      </c>
      <c r="B48" s="15">
        <f t="shared" si="0"/>
        <v>20</v>
      </c>
      <c r="C48">
        <v>19</v>
      </c>
    </row>
    <row r="49" spans="1:3" x14ac:dyDescent="0.2">
      <c r="A49" s="3">
        <v>23.5</v>
      </c>
      <c r="B49" s="15">
        <f t="shared" si="0"/>
        <v>21</v>
      </c>
      <c r="C49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F9CF-D23B-9446-BD58-C0A16A84A67D}">
  <dimension ref="A1:H802"/>
  <sheetViews>
    <sheetView workbookViewId="0">
      <selection activeCell="D7" sqref="D7"/>
    </sheetView>
  </sheetViews>
  <sheetFormatPr baseColWidth="10" defaultRowHeight="16" x14ac:dyDescent="0.2"/>
  <cols>
    <col min="3" max="3" width="14.1640625" bestFit="1" customWidth="1"/>
    <col min="4" max="4" width="24.83203125" bestFit="1" customWidth="1"/>
  </cols>
  <sheetData>
    <row r="1" spans="1:8" x14ac:dyDescent="0.2">
      <c r="A1" s="16" t="s">
        <v>77</v>
      </c>
      <c r="B1" s="16" t="s">
        <v>94</v>
      </c>
      <c r="C1" s="16" t="s">
        <v>92</v>
      </c>
      <c r="D1" s="16" t="s">
        <v>93</v>
      </c>
    </row>
    <row r="2" spans="1:8" x14ac:dyDescent="0.2">
      <c r="A2" s="5">
        <f>(ROW()-2)/400</f>
        <v>0</v>
      </c>
      <c r="B2">
        <f>_xlfn.FLOOR.MATH(A2*25)</f>
        <v>0</v>
      </c>
      <c r="C2" s="3">
        <f>100-(A2/2*100)</f>
        <v>100</v>
      </c>
      <c r="D2">
        <f>100-B2*2</f>
        <v>100</v>
      </c>
      <c r="G2" t="s">
        <v>95</v>
      </c>
      <c r="H2" s="2">
        <v>25</v>
      </c>
    </row>
    <row r="3" spans="1:8" x14ac:dyDescent="0.2">
      <c r="A3" s="5">
        <f t="shared" ref="A3:A66" si="0">(ROW()-2)/400</f>
        <v>2.5000000000000001E-3</v>
      </c>
      <c r="B3">
        <f t="shared" ref="B3:B66" si="1">_xlfn.FLOOR.MATH(A3*25)</f>
        <v>0</v>
      </c>
      <c r="C3" s="3">
        <f t="shared" ref="C3:C51" si="2">100-(A3/2*100)</f>
        <v>99.875</v>
      </c>
      <c r="D3">
        <f t="shared" ref="D3:D66" si="3">100-B3*2</f>
        <v>100</v>
      </c>
      <c r="G3" t="s">
        <v>96</v>
      </c>
      <c r="H3">
        <f>1/H2</f>
        <v>0.04</v>
      </c>
    </row>
    <row r="4" spans="1:8" x14ac:dyDescent="0.2">
      <c r="A4" s="5">
        <f t="shared" si="0"/>
        <v>5.0000000000000001E-3</v>
      </c>
      <c r="B4">
        <f t="shared" si="1"/>
        <v>0</v>
      </c>
      <c r="C4" s="3">
        <f t="shared" si="2"/>
        <v>99.75</v>
      </c>
      <c r="D4">
        <f t="shared" si="3"/>
        <v>100</v>
      </c>
    </row>
    <row r="5" spans="1:8" x14ac:dyDescent="0.2">
      <c r="A5" s="5">
        <f t="shared" si="0"/>
        <v>7.4999999999999997E-3</v>
      </c>
      <c r="B5">
        <f t="shared" si="1"/>
        <v>0</v>
      </c>
      <c r="C5" s="3">
        <f t="shared" si="2"/>
        <v>99.625</v>
      </c>
      <c r="D5">
        <f t="shared" si="3"/>
        <v>100</v>
      </c>
    </row>
    <row r="6" spans="1:8" x14ac:dyDescent="0.2">
      <c r="A6" s="5">
        <f t="shared" si="0"/>
        <v>0.01</v>
      </c>
      <c r="B6">
        <f t="shared" si="1"/>
        <v>0</v>
      </c>
      <c r="C6" s="3">
        <f t="shared" si="2"/>
        <v>99.5</v>
      </c>
      <c r="D6">
        <f t="shared" si="3"/>
        <v>100</v>
      </c>
    </row>
    <row r="7" spans="1:8" x14ac:dyDescent="0.2">
      <c r="A7" s="5">
        <f t="shared" si="0"/>
        <v>1.2500000000000001E-2</v>
      </c>
      <c r="B7">
        <f t="shared" si="1"/>
        <v>0</v>
      </c>
      <c r="C7" s="3">
        <f t="shared" si="2"/>
        <v>99.375</v>
      </c>
      <c r="D7">
        <f t="shared" si="3"/>
        <v>100</v>
      </c>
    </row>
    <row r="8" spans="1:8" x14ac:dyDescent="0.2">
      <c r="A8" s="5">
        <f t="shared" si="0"/>
        <v>1.4999999999999999E-2</v>
      </c>
      <c r="B8">
        <f t="shared" si="1"/>
        <v>0</v>
      </c>
      <c r="C8" s="3">
        <f t="shared" si="2"/>
        <v>99.25</v>
      </c>
      <c r="D8">
        <f t="shared" si="3"/>
        <v>100</v>
      </c>
    </row>
    <row r="9" spans="1:8" x14ac:dyDescent="0.2">
      <c r="A9" s="5">
        <f t="shared" si="0"/>
        <v>1.7500000000000002E-2</v>
      </c>
      <c r="B9">
        <f t="shared" si="1"/>
        <v>0</v>
      </c>
      <c r="C9" s="3">
        <f t="shared" si="2"/>
        <v>99.125</v>
      </c>
      <c r="D9">
        <f t="shared" si="3"/>
        <v>100</v>
      </c>
    </row>
    <row r="10" spans="1:8" x14ac:dyDescent="0.2">
      <c r="A10" s="5">
        <f t="shared" si="0"/>
        <v>0.02</v>
      </c>
      <c r="B10">
        <f t="shared" si="1"/>
        <v>0</v>
      </c>
      <c r="C10" s="3">
        <f t="shared" si="2"/>
        <v>99</v>
      </c>
      <c r="D10">
        <f t="shared" si="3"/>
        <v>100</v>
      </c>
    </row>
    <row r="11" spans="1:8" x14ac:dyDescent="0.2">
      <c r="A11" s="5">
        <f t="shared" si="0"/>
        <v>2.2499999999999999E-2</v>
      </c>
      <c r="B11">
        <f t="shared" si="1"/>
        <v>0</v>
      </c>
      <c r="C11" s="3">
        <f t="shared" si="2"/>
        <v>98.875</v>
      </c>
      <c r="D11">
        <f t="shared" si="3"/>
        <v>100</v>
      </c>
    </row>
    <row r="12" spans="1:8" x14ac:dyDescent="0.2">
      <c r="A12" s="5">
        <f t="shared" si="0"/>
        <v>2.5000000000000001E-2</v>
      </c>
      <c r="B12">
        <f t="shared" si="1"/>
        <v>0</v>
      </c>
      <c r="C12" s="3">
        <f t="shared" si="2"/>
        <v>98.75</v>
      </c>
      <c r="D12">
        <f t="shared" si="3"/>
        <v>100</v>
      </c>
    </row>
    <row r="13" spans="1:8" x14ac:dyDescent="0.2">
      <c r="A13" s="5">
        <f t="shared" si="0"/>
        <v>2.75E-2</v>
      </c>
      <c r="B13">
        <f t="shared" si="1"/>
        <v>0</v>
      </c>
      <c r="C13" s="3">
        <f t="shared" si="2"/>
        <v>98.625</v>
      </c>
      <c r="D13">
        <f t="shared" si="3"/>
        <v>100</v>
      </c>
    </row>
    <row r="14" spans="1:8" x14ac:dyDescent="0.2">
      <c r="A14" s="5">
        <f t="shared" si="0"/>
        <v>0.03</v>
      </c>
      <c r="B14">
        <f t="shared" si="1"/>
        <v>0</v>
      </c>
      <c r="C14" s="3">
        <f t="shared" si="2"/>
        <v>98.5</v>
      </c>
      <c r="D14">
        <f t="shared" si="3"/>
        <v>100</v>
      </c>
    </row>
    <row r="15" spans="1:8" x14ac:dyDescent="0.2">
      <c r="A15" s="5">
        <f t="shared" si="0"/>
        <v>3.2500000000000001E-2</v>
      </c>
      <c r="B15">
        <f t="shared" si="1"/>
        <v>0</v>
      </c>
      <c r="C15" s="3">
        <f t="shared" si="2"/>
        <v>98.375</v>
      </c>
      <c r="D15">
        <f t="shared" si="3"/>
        <v>100</v>
      </c>
    </row>
    <row r="16" spans="1:8" x14ac:dyDescent="0.2">
      <c r="A16" s="5">
        <f t="shared" si="0"/>
        <v>3.5000000000000003E-2</v>
      </c>
      <c r="B16">
        <f t="shared" si="1"/>
        <v>0</v>
      </c>
      <c r="C16" s="3">
        <f t="shared" si="2"/>
        <v>98.25</v>
      </c>
      <c r="D16">
        <f t="shared" si="3"/>
        <v>100</v>
      </c>
    </row>
    <row r="17" spans="1:4" x14ac:dyDescent="0.2">
      <c r="A17" s="5">
        <f t="shared" si="0"/>
        <v>3.7499999999999999E-2</v>
      </c>
      <c r="B17">
        <f t="shared" si="1"/>
        <v>0</v>
      </c>
      <c r="C17" s="3">
        <f t="shared" si="2"/>
        <v>98.125</v>
      </c>
      <c r="D17">
        <f t="shared" si="3"/>
        <v>100</v>
      </c>
    </row>
    <row r="18" spans="1:4" x14ac:dyDescent="0.2">
      <c r="A18" s="5">
        <f t="shared" si="0"/>
        <v>0.04</v>
      </c>
      <c r="B18">
        <f t="shared" si="1"/>
        <v>1</v>
      </c>
      <c r="C18" s="3">
        <f t="shared" si="2"/>
        <v>98</v>
      </c>
      <c r="D18">
        <f t="shared" si="3"/>
        <v>98</v>
      </c>
    </row>
    <row r="19" spans="1:4" x14ac:dyDescent="0.2">
      <c r="A19" s="5">
        <f t="shared" si="0"/>
        <v>4.2500000000000003E-2</v>
      </c>
      <c r="B19">
        <f t="shared" si="1"/>
        <v>1</v>
      </c>
      <c r="C19" s="3">
        <f t="shared" si="2"/>
        <v>97.875</v>
      </c>
      <c r="D19">
        <f t="shared" si="3"/>
        <v>98</v>
      </c>
    </row>
    <row r="20" spans="1:4" x14ac:dyDescent="0.2">
      <c r="A20" s="5">
        <f t="shared" si="0"/>
        <v>4.4999999999999998E-2</v>
      </c>
      <c r="B20">
        <f t="shared" si="1"/>
        <v>1</v>
      </c>
      <c r="C20" s="3">
        <f t="shared" si="2"/>
        <v>97.75</v>
      </c>
      <c r="D20">
        <f t="shared" si="3"/>
        <v>98</v>
      </c>
    </row>
    <row r="21" spans="1:4" x14ac:dyDescent="0.2">
      <c r="A21" s="5">
        <f t="shared" si="0"/>
        <v>4.7500000000000001E-2</v>
      </c>
      <c r="B21">
        <f t="shared" si="1"/>
        <v>1</v>
      </c>
      <c r="C21" s="3">
        <f t="shared" si="2"/>
        <v>97.625</v>
      </c>
      <c r="D21">
        <f t="shared" si="3"/>
        <v>98</v>
      </c>
    </row>
    <row r="22" spans="1:4" x14ac:dyDescent="0.2">
      <c r="A22" s="5">
        <f t="shared" si="0"/>
        <v>0.05</v>
      </c>
      <c r="B22">
        <f t="shared" si="1"/>
        <v>1</v>
      </c>
      <c r="C22" s="3">
        <f t="shared" si="2"/>
        <v>97.5</v>
      </c>
      <c r="D22">
        <f t="shared" si="3"/>
        <v>98</v>
      </c>
    </row>
    <row r="23" spans="1:4" x14ac:dyDescent="0.2">
      <c r="A23" s="5">
        <f t="shared" si="0"/>
        <v>5.2499999999999998E-2</v>
      </c>
      <c r="B23">
        <f t="shared" si="1"/>
        <v>1</v>
      </c>
      <c r="C23" s="3">
        <f t="shared" si="2"/>
        <v>97.375</v>
      </c>
      <c r="D23">
        <f t="shared" si="3"/>
        <v>98</v>
      </c>
    </row>
    <row r="24" spans="1:4" x14ac:dyDescent="0.2">
      <c r="A24" s="5">
        <f t="shared" si="0"/>
        <v>5.5E-2</v>
      </c>
      <c r="B24">
        <f t="shared" si="1"/>
        <v>1</v>
      </c>
      <c r="C24" s="3">
        <f t="shared" si="2"/>
        <v>97.25</v>
      </c>
      <c r="D24">
        <f t="shared" si="3"/>
        <v>98</v>
      </c>
    </row>
    <row r="25" spans="1:4" x14ac:dyDescent="0.2">
      <c r="A25" s="5">
        <f t="shared" si="0"/>
        <v>5.7500000000000002E-2</v>
      </c>
      <c r="B25">
        <f t="shared" si="1"/>
        <v>1</v>
      </c>
      <c r="C25" s="3">
        <f t="shared" si="2"/>
        <v>97.125</v>
      </c>
      <c r="D25">
        <f t="shared" si="3"/>
        <v>98</v>
      </c>
    </row>
    <row r="26" spans="1:4" x14ac:dyDescent="0.2">
      <c r="A26" s="5">
        <f t="shared" si="0"/>
        <v>0.06</v>
      </c>
      <c r="B26">
        <f t="shared" si="1"/>
        <v>1</v>
      </c>
      <c r="C26" s="3">
        <f t="shared" si="2"/>
        <v>97</v>
      </c>
      <c r="D26">
        <f t="shared" si="3"/>
        <v>98</v>
      </c>
    </row>
    <row r="27" spans="1:4" x14ac:dyDescent="0.2">
      <c r="A27" s="5">
        <f t="shared" si="0"/>
        <v>6.25E-2</v>
      </c>
      <c r="B27">
        <f t="shared" si="1"/>
        <v>1</v>
      </c>
      <c r="C27" s="3">
        <f t="shared" si="2"/>
        <v>96.875</v>
      </c>
      <c r="D27">
        <f t="shared" si="3"/>
        <v>98</v>
      </c>
    </row>
    <row r="28" spans="1:4" x14ac:dyDescent="0.2">
      <c r="A28" s="5">
        <f t="shared" si="0"/>
        <v>6.5000000000000002E-2</v>
      </c>
      <c r="B28">
        <f t="shared" si="1"/>
        <v>1</v>
      </c>
      <c r="C28" s="3">
        <f t="shared" si="2"/>
        <v>96.75</v>
      </c>
      <c r="D28">
        <f t="shared" si="3"/>
        <v>98</v>
      </c>
    </row>
    <row r="29" spans="1:4" x14ac:dyDescent="0.2">
      <c r="A29" s="5">
        <f t="shared" si="0"/>
        <v>6.7500000000000004E-2</v>
      </c>
      <c r="B29">
        <f t="shared" si="1"/>
        <v>1</v>
      </c>
      <c r="C29" s="3">
        <f t="shared" si="2"/>
        <v>96.625</v>
      </c>
      <c r="D29">
        <f t="shared" si="3"/>
        <v>98</v>
      </c>
    </row>
    <row r="30" spans="1:4" x14ac:dyDescent="0.2">
      <c r="A30" s="5">
        <f t="shared" si="0"/>
        <v>7.0000000000000007E-2</v>
      </c>
      <c r="B30">
        <f t="shared" si="1"/>
        <v>1</v>
      </c>
      <c r="C30" s="3">
        <f t="shared" si="2"/>
        <v>96.5</v>
      </c>
      <c r="D30">
        <f t="shared" si="3"/>
        <v>98</v>
      </c>
    </row>
    <row r="31" spans="1:4" x14ac:dyDescent="0.2">
      <c r="A31" s="5">
        <f t="shared" si="0"/>
        <v>7.2499999999999995E-2</v>
      </c>
      <c r="B31">
        <f t="shared" si="1"/>
        <v>1</v>
      </c>
      <c r="C31" s="3">
        <f t="shared" si="2"/>
        <v>96.375</v>
      </c>
      <c r="D31">
        <f t="shared" si="3"/>
        <v>98</v>
      </c>
    </row>
    <row r="32" spans="1:4" x14ac:dyDescent="0.2">
      <c r="A32" s="5">
        <f t="shared" si="0"/>
        <v>7.4999999999999997E-2</v>
      </c>
      <c r="B32">
        <f t="shared" si="1"/>
        <v>1</v>
      </c>
      <c r="C32" s="3">
        <f t="shared" si="2"/>
        <v>96.25</v>
      </c>
      <c r="D32">
        <f t="shared" si="3"/>
        <v>98</v>
      </c>
    </row>
    <row r="33" spans="1:4" x14ac:dyDescent="0.2">
      <c r="A33" s="5">
        <f t="shared" si="0"/>
        <v>7.7499999999999999E-2</v>
      </c>
      <c r="B33">
        <f t="shared" si="1"/>
        <v>1</v>
      </c>
      <c r="C33" s="3">
        <f t="shared" si="2"/>
        <v>96.125</v>
      </c>
      <c r="D33">
        <f t="shared" si="3"/>
        <v>98</v>
      </c>
    </row>
    <row r="34" spans="1:4" x14ac:dyDescent="0.2">
      <c r="A34" s="5">
        <f t="shared" si="0"/>
        <v>0.08</v>
      </c>
      <c r="B34">
        <f t="shared" si="1"/>
        <v>2</v>
      </c>
      <c r="C34" s="3">
        <f t="shared" si="2"/>
        <v>96</v>
      </c>
      <c r="D34">
        <f t="shared" si="3"/>
        <v>96</v>
      </c>
    </row>
    <row r="35" spans="1:4" x14ac:dyDescent="0.2">
      <c r="A35" s="5">
        <f t="shared" si="0"/>
        <v>8.2500000000000004E-2</v>
      </c>
      <c r="B35">
        <f t="shared" si="1"/>
        <v>2</v>
      </c>
      <c r="C35" s="3">
        <f t="shared" si="2"/>
        <v>95.875</v>
      </c>
      <c r="D35">
        <f t="shared" si="3"/>
        <v>96</v>
      </c>
    </row>
    <row r="36" spans="1:4" x14ac:dyDescent="0.2">
      <c r="A36" s="5">
        <f t="shared" si="0"/>
        <v>8.5000000000000006E-2</v>
      </c>
      <c r="B36">
        <f t="shared" si="1"/>
        <v>2</v>
      </c>
      <c r="C36" s="3">
        <f t="shared" si="2"/>
        <v>95.75</v>
      </c>
      <c r="D36">
        <f t="shared" si="3"/>
        <v>96</v>
      </c>
    </row>
    <row r="37" spans="1:4" x14ac:dyDescent="0.2">
      <c r="A37" s="5">
        <f t="shared" si="0"/>
        <v>8.7499999999999994E-2</v>
      </c>
      <c r="B37">
        <f t="shared" si="1"/>
        <v>2</v>
      </c>
      <c r="C37" s="3">
        <f t="shared" si="2"/>
        <v>95.625</v>
      </c>
      <c r="D37">
        <f t="shared" si="3"/>
        <v>96</v>
      </c>
    </row>
    <row r="38" spans="1:4" x14ac:dyDescent="0.2">
      <c r="A38" s="5">
        <f t="shared" si="0"/>
        <v>0.09</v>
      </c>
      <c r="B38">
        <f t="shared" si="1"/>
        <v>2</v>
      </c>
      <c r="C38" s="3">
        <f t="shared" si="2"/>
        <v>95.5</v>
      </c>
      <c r="D38">
        <f t="shared" si="3"/>
        <v>96</v>
      </c>
    </row>
    <row r="39" spans="1:4" x14ac:dyDescent="0.2">
      <c r="A39" s="5">
        <f t="shared" si="0"/>
        <v>9.2499999999999999E-2</v>
      </c>
      <c r="B39">
        <f t="shared" si="1"/>
        <v>2</v>
      </c>
      <c r="C39" s="3">
        <f t="shared" si="2"/>
        <v>95.375</v>
      </c>
      <c r="D39">
        <f t="shared" si="3"/>
        <v>96</v>
      </c>
    </row>
    <row r="40" spans="1:4" x14ac:dyDescent="0.2">
      <c r="A40" s="5">
        <f t="shared" si="0"/>
        <v>9.5000000000000001E-2</v>
      </c>
      <c r="B40">
        <f t="shared" si="1"/>
        <v>2</v>
      </c>
      <c r="C40" s="3">
        <f t="shared" si="2"/>
        <v>95.25</v>
      </c>
      <c r="D40">
        <f t="shared" si="3"/>
        <v>96</v>
      </c>
    </row>
    <row r="41" spans="1:4" x14ac:dyDescent="0.2">
      <c r="A41" s="5">
        <f t="shared" si="0"/>
        <v>9.7500000000000003E-2</v>
      </c>
      <c r="B41">
        <f t="shared" si="1"/>
        <v>2</v>
      </c>
      <c r="C41" s="3">
        <f t="shared" si="2"/>
        <v>95.125</v>
      </c>
      <c r="D41">
        <f t="shared" si="3"/>
        <v>96</v>
      </c>
    </row>
    <row r="42" spans="1:4" x14ac:dyDescent="0.2">
      <c r="A42" s="5">
        <f t="shared" si="0"/>
        <v>0.1</v>
      </c>
      <c r="B42">
        <f t="shared" si="1"/>
        <v>2</v>
      </c>
      <c r="C42" s="3">
        <f t="shared" si="2"/>
        <v>95</v>
      </c>
      <c r="D42">
        <f t="shared" si="3"/>
        <v>96</v>
      </c>
    </row>
    <row r="43" spans="1:4" x14ac:dyDescent="0.2">
      <c r="A43" s="5">
        <f t="shared" si="0"/>
        <v>0.10249999999999999</v>
      </c>
      <c r="B43">
        <f t="shared" si="1"/>
        <v>2</v>
      </c>
      <c r="C43" s="3">
        <f t="shared" si="2"/>
        <v>94.875</v>
      </c>
      <c r="D43">
        <f t="shared" si="3"/>
        <v>96</v>
      </c>
    </row>
    <row r="44" spans="1:4" x14ac:dyDescent="0.2">
      <c r="A44" s="5">
        <f t="shared" si="0"/>
        <v>0.105</v>
      </c>
      <c r="B44">
        <f t="shared" si="1"/>
        <v>2</v>
      </c>
      <c r="C44" s="3">
        <f t="shared" si="2"/>
        <v>94.75</v>
      </c>
      <c r="D44">
        <f t="shared" si="3"/>
        <v>96</v>
      </c>
    </row>
    <row r="45" spans="1:4" x14ac:dyDescent="0.2">
      <c r="A45" s="5">
        <f t="shared" si="0"/>
        <v>0.1075</v>
      </c>
      <c r="B45">
        <f t="shared" si="1"/>
        <v>2</v>
      </c>
      <c r="C45" s="3">
        <f t="shared" si="2"/>
        <v>94.625</v>
      </c>
      <c r="D45">
        <f t="shared" si="3"/>
        <v>96</v>
      </c>
    </row>
    <row r="46" spans="1:4" x14ac:dyDescent="0.2">
      <c r="A46" s="5">
        <f t="shared" si="0"/>
        <v>0.11</v>
      </c>
      <c r="B46">
        <f t="shared" si="1"/>
        <v>2</v>
      </c>
      <c r="C46" s="3">
        <f t="shared" si="2"/>
        <v>94.5</v>
      </c>
      <c r="D46">
        <f t="shared" si="3"/>
        <v>96</v>
      </c>
    </row>
    <row r="47" spans="1:4" x14ac:dyDescent="0.2">
      <c r="A47" s="5">
        <f t="shared" si="0"/>
        <v>0.1125</v>
      </c>
      <c r="B47">
        <f t="shared" si="1"/>
        <v>2</v>
      </c>
      <c r="C47" s="3">
        <f t="shared" si="2"/>
        <v>94.375</v>
      </c>
      <c r="D47">
        <f t="shared" si="3"/>
        <v>96</v>
      </c>
    </row>
    <row r="48" spans="1:4" x14ac:dyDescent="0.2">
      <c r="A48" s="5">
        <f t="shared" si="0"/>
        <v>0.115</v>
      </c>
      <c r="B48">
        <f t="shared" si="1"/>
        <v>2</v>
      </c>
      <c r="C48" s="3">
        <f t="shared" si="2"/>
        <v>94.25</v>
      </c>
      <c r="D48">
        <f t="shared" si="3"/>
        <v>96</v>
      </c>
    </row>
    <row r="49" spans="1:4" x14ac:dyDescent="0.2">
      <c r="A49" s="5">
        <f t="shared" si="0"/>
        <v>0.11749999999999999</v>
      </c>
      <c r="B49">
        <f t="shared" si="1"/>
        <v>2</v>
      </c>
      <c r="C49" s="3">
        <f t="shared" si="2"/>
        <v>94.125</v>
      </c>
      <c r="D49">
        <f t="shared" si="3"/>
        <v>96</v>
      </c>
    </row>
    <row r="50" spans="1:4" x14ac:dyDescent="0.2">
      <c r="A50" s="5">
        <f t="shared" si="0"/>
        <v>0.12</v>
      </c>
      <c r="B50">
        <f t="shared" si="1"/>
        <v>3</v>
      </c>
      <c r="C50" s="3">
        <f t="shared" si="2"/>
        <v>94</v>
      </c>
      <c r="D50">
        <f t="shared" si="3"/>
        <v>94</v>
      </c>
    </row>
    <row r="51" spans="1:4" x14ac:dyDescent="0.2">
      <c r="A51" s="5">
        <f t="shared" si="0"/>
        <v>0.1225</v>
      </c>
      <c r="B51">
        <f t="shared" si="1"/>
        <v>3</v>
      </c>
      <c r="C51" s="3">
        <f t="shared" si="2"/>
        <v>93.875</v>
      </c>
      <c r="D51">
        <f t="shared" si="3"/>
        <v>94</v>
      </c>
    </row>
    <row r="52" spans="1:4" x14ac:dyDescent="0.2">
      <c r="A52" s="5">
        <f t="shared" si="0"/>
        <v>0.125</v>
      </c>
      <c r="B52">
        <f t="shared" si="1"/>
        <v>3</v>
      </c>
      <c r="C52" s="3">
        <f>100-(A52/2*100)</f>
        <v>93.75</v>
      </c>
      <c r="D52">
        <f t="shared" si="3"/>
        <v>94</v>
      </c>
    </row>
    <row r="53" spans="1:4" x14ac:dyDescent="0.2">
      <c r="A53" s="5">
        <f t="shared" si="0"/>
        <v>0.1275</v>
      </c>
      <c r="B53">
        <f t="shared" si="1"/>
        <v>3</v>
      </c>
      <c r="C53" s="3">
        <f t="shared" ref="C53:C83" si="4">100-(A53/2*100)</f>
        <v>93.625</v>
      </c>
      <c r="D53">
        <f t="shared" si="3"/>
        <v>94</v>
      </c>
    </row>
    <row r="54" spans="1:4" x14ac:dyDescent="0.2">
      <c r="A54" s="5">
        <f t="shared" si="0"/>
        <v>0.13</v>
      </c>
      <c r="B54">
        <f t="shared" si="1"/>
        <v>3</v>
      </c>
      <c r="C54" s="3">
        <f t="shared" si="4"/>
        <v>93.5</v>
      </c>
      <c r="D54">
        <f t="shared" si="3"/>
        <v>94</v>
      </c>
    </row>
    <row r="55" spans="1:4" x14ac:dyDescent="0.2">
      <c r="A55" s="5">
        <f t="shared" si="0"/>
        <v>0.13250000000000001</v>
      </c>
      <c r="B55">
        <f t="shared" si="1"/>
        <v>3</v>
      </c>
      <c r="C55" s="3">
        <f t="shared" si="4"/>
        <v>93.375</v>
      </c>
      <c r="D55">
        <f t="shared" si="3"/>
        <v>94</v>
      </c>
    </row>
    <row r="56" spans="1:4" x14ac:dyDescent="0.2">
      <c r="A56" s="5">
        <f t="shared" si="0"/>
        <v>0.13500000000000001</v>
      </c>
      <c r="B56">
        <f t="shared" si="1"/>
        <v>3</v>
      </c>
      <c r="C56" s="3">
        <f t="shared" si="4"/>
        <v>93.25</v>
      </c>
      <c r="D56">
        <f t="shared" si="3"/>
        <v>94</v>
      </c>
    </row>
    <row r="57" spans="1:4" x14ac:dyDescent="0.2">
      <c r="A57" s="5">
        <f t="shared" si="0"/>
        <v>0.13750000000000001</v>
      </c>
      <c r="B57">
        <f t="shared" si="1"/>
        <v>3</v>
      </c>
      <c r="C57" s="3">
        <f t="shared" si="4"/>
        <v>93.125</v>
      </c>
      <c r="D57">
        <f t="shared" si="3"/>
        <v>94</v>
      </c>
    </row>
    <row r="58" spans="1:4" x14ac:dyDescent="0.2">
      <c r="A58" s="5">
        <f t="shared" si="0"/>
        <v>0.14000000000000001</v>
      </c>
      <c r="B58">
        <f t="shared" si="1"/>
        <v>3</v>
      </c>
      <c r="C58" s="3">
        <f t="shared" si="4"/>
        <v>93</v>
      </c>
      <c r="D58">
        <f t="shared" si="3"/>
        <v>94</v>
      </c>
    </row>
    <row r="59" spans="1:4" x14ac:dyDescent="0.2">
      <c r="A59" s="5">
        <f t="shared" si="0"/>
        <v>0.14249999999999999</v>
      </c>
      <c r="B59">
        <f t="shared" si="1"/>
        <v>3</v>
      </c>
      <c r="C59" s="3">
        <f t="shared" si="4"/>
        <v>92.875</v>
      </c>
      <c r="D59">
        <f t="shared" si="3"/>
        <v>94</v>
      </c>
    </row>
    <row r="60" spans="1:4" x14ac:dyDescent="0.2">
      <c r="A60" s="5">
        <f t="shared" si="0"/>
        <v>0.14499999999999999</v>
      </c>
      <c r="B60">
        <f t="shared" si="1"/>
        <v>3</v>
      </c>
      <c r="C60" s="3">
        <f t="shared" si="4"/>
        <v>92.75</v>
      </c>
      <c r="D60">
        <f t="shared" si="3"/>
        <v>94</v>
      </c>
    </row>
    <row r="61" spans="1:4" x14ac:dyDescent="0.2">
      <c r="A61" s="5">
        <f t="shared" si="0"/>
        <v>0.14749999999999999</v>
      </c>
      <c r="B61">
        <f t="shared" si="1"/>
        <v>3</v>
      </c>
      <c r="C61" s="3">
        <f t="shared" si="4"/>
        <v>92.625</v>
      </c>
      <c r="D61">
        <f t="shared" si="3"/>
        <v>94</v>
      </c>
    </row>
    <row r="62" spans="1:4" x14ac:dyDescent="0.2">
      <c r="A62" s="5">
        <f t="shared" si="0"/>
        <v>0.15</v>
      </c>
      <c r="B62">
        <f t="shared" si="1"/>
        <v>3</v>
      </c>
      <c r="C62" s="3">
        <f t="shared" si="4"/>
        <v>92.5</v>
      </c>
      <c r="D62">
        <f t="shared" si="3"/>
        <v>94</v>
      </c>
    </row>
    <row r="63" spans="1:4" x14ac:dyDescent="0.2">
      <c r="A63" s="5">
        <f t="shared" si="0"/>
        <v>0.1525</v>
      </c>
      <c r="B63">
        <f t="shared" si="1"/>
        <v>3</v>
      </c>
      <c r="C63" s="3">
        <f t="shared" si="4"/>
        <v>92.375</v>
      </c>
      <c r="D63">
        <f t="shared" si="3"/>
        <v>94</v>
      </c>
    </row>
    <row r="64" spans="1:4" x14ac:dyDescent="0.2">
      <c r="A64" s="5">
        <f t="shared" si="0"/>
        <v>0.155</v>
      </c>
      <c r="B64">
        <f t="shared" si="1"/>
        <v>3</v>
      </c>
      <c r="C64" s="3">
        <f t="shared" si="4"/>
        <v>92.25</v>
      </c>
      <c r="D64">
        <f t="shared" si="3"/>
        <v>94</v>
      </c>
    </row>
    <row r="65" spans="1:4" x14ac:dyDescent="0.2">
      <c r="A65" s="5">
        <f t="shared" si="0"/>
        <v>0.1575</v>
      </c>
      <c r="B65">
        <f t="shared" si="1"/>
        <v>3</v>
      </c>
      <c r="C65" s="3">
        <f t="shared" si="4"/>
        <v>92.125</v>
      </c>
      <c r="D65">
        <f t="shared" si="3"/>
        <v>94</v>
      </c>
    </row>
    <row r="66" spans="1:4" x14ac:dyDescent="0.2">
      <c r="A66" s="5">
        <f t="shared" si="0"/>
        <v>0.16</v>
      </c>
      <c r="B66">
        <f t="shared" si="1"/>
        <v>4</v>
      </c>
      <c r="C66" s="3">
        <f t="shared" si="4"/>
        <v>92</v>
      </c>
      <c r="D66">
        <f t="shared" si="3"/>
        <v>92</v>
      </c>
    </row>
    <row r="67" spans="1:4" x14ac:dyDescent="0.2">
      <c r="A67" s="5">
        <f t="shared" ref="A67:A130" si="5">(ROW()-2)/400</f>
        <v>0.16250000000000001</v>
      </c>
      <c r="B67">
        <f t="shared" ref="B67:B130" si="6">_xlfn.FLOOR.MATH(A67*25)</f>
        <v>4</v>
      </c>
      <c r="C67" s="3">
        <f t="shared" si="4"/>
        <v>91.875</v>
      </c>
      <c r="D67">
        <f t="shared" ref="D67:D130" si="7">100-B67*2</f>
        <v>92</v>
      </c>
    </row>
    <row r="68" spans="1:4" x14ac:dyDescent="0.2">
      <c r="A68" s="5">
        <f t="shared" si="5"/>
        <v>0.16500000000000001</v>
      </c>
      <c r="B68">
        <f t="shared" si="6"/>
        <v>4</v>
      </c>
      <c r="C68" s="3">
        <f t="shared" si="4"/>
        <v>91.75</v>
      </c>
      <c r="D68">
        <f t="shared" si="7"/>
        <v>92</v>
      </c>
    </row>
    <row r="69" spans="1:4" x14ac:dyDescent="0.2">
      <c r="A69" s="5">
        <f t="shared" si="5"/>
        <v>0.16750000000000001</v>
      </c>
      <c r="B69">
        <f t="shared" si="6"/>
        <v>4</v>
      </c>
      <c r="C69" s="3">
        <f t="shared" si="4"/>
        <v>91.625</v>
      </c>
      <c r="D69">
        <f t="shared" si="7"/>
        <v>92</v>
      </c>
    </row>
    <row r="70" spans="1:4" x14ac:dyDescent="0.2">
      <c r="A70" s="5">
        <f t="shared" si="5"/>
        <v>0.17</v>
      </c>
      <c r="B70">
        <f t="shared" si="6"/>
        <v>4</v>
      </c>
      <c r="C70" s="3">
        <f t="shared" si="4"/>
        <v>91.5</v>
      </c>
      <c r="D70">
        <f t="shared" si="7"/>
        <v>92</v>
      </c>
    </row>
    <row r="71" spans="1:4" x14ac:dyDescent="0.2">
      <c r="A71" s="5">
        <f t="shared" si="5"/>
        <v>0.17249999999999999</v>
      </c>
      <c r="B71">
        <f t="shared" si="6"/>
        <v>4</v>
      </c>
      <c r="C71" s="3">
        <f t="shared" si="4"/>
        <v>91.375</v>
      </c>
      <c r="D71">
        <f t="shared" si="7"/>
        <v>92</v>
      </c>
    </row>
    <row r="72" spans="1:4" x14ac:dyDescent="0.2">
      <c r="A72" s="5">
        <f t="shared" si="5"/>
        <v>0.17499999999999999</v>
      </c>
      <c r="B72">
        <f t="shared" si="6"/>
        <v>4</v>
      </c>
      <c r="C72" s="3">
        <f t="shared" si="4"/>
        <v>91.25</v>
      </c>
      <c r="D72">
        <f t="shared" si="7"/>
        <v>92</v>
      </c>
    </row>
    <row r="73" spans="1:4" x14ac:dyDescent="0.2">
      <c r="A73" s="5">
        <f t="shared" si="5"/>
        <v>0.17749999999999999</v>
      </c>
      <c r="B73">
        <f t="shared" si="6"/>
        <v>4</v>
      </c>
      <c r="C73" s="3">
        <f t="shared" si="4"/>
        <v>91.125</v>
      </c>
      <c r="D73">
        <f t="shared" si="7"/>
        <v>92</v>
      </c>
    </row>
    <row r="74" spans="1:4" x14ac:dyDescent="0.2">
      <c r="A74" s="5">
        <f t="shared" si="5"/>
        <v>0.18</v>
      </c>
      <c r="B74">
        <f t="shared" si="6"/>
        <v>4</v>
      </c>
      <c r="C74" s="3">
        <f t="shared" si="4"/>
        <v>91</v>
      </c>
      <c r="D74">
        <f t="shared" si="7"/>
        <v>92</v>
      </c>
    </row>
    <row r="75" spans="1:4" x14ac:dyDescent="0.2">
      <c r="A75" s="5">
        <f t="shared" si="5"/>
        <v>0.1825</v>
      </c>
      <c r="B75">
        <f t="shared" si="6"/>
        <v>4</v>
      </c>
      <c r="C75" s="3">
        <f t="shared" si="4"/>
        <v>90.875</v>
      </c>
      <c r="D75">
        <f t="shared" si="7"/>
        <v>92</v>
      </c>
    </row>
    <row r="76" spans="1:4" x14ac:dyDescent="0.2">
      <c r="A76" s="5">
        <f t="shared" si="5"/>
        <v>0.185</v>
      </c>
      <c r="B76">
        <f t="shared" si="6"/>
        <v>4</v>
      </c>
      <c r="C76" s="3">
        <f t="shared" si="4"/>
        <v>90.75</v>
      </c>
      <c r="D76">
        <f t="shared" si="7"/>
        <v>92</v>
      </c>
    </row>
    <row r="77" spans="1:4" x14ac:dyDescent="0.2">
      <c r="A77" s="5">
        <f t="shared" si="5"/>
        <v>0.1875</v>
      </c>
      <c r="B77">
        <f t="shared" si="6"/>
        <v>4</v>
      </c>
      <c r="C77" s="3">
        <f t="shared" si="4"/>
        <v>90.625</v>
      </c>
      <c r="D77">
        <f t="shared" si="7"/>
        <v>92</v>
      </c>
    </row>
    <row r="78" spans="1:4" x14ac:dyDescent="0.2">
      <c r="A78" s="5">
        <f t="shared" si="5"/>
        <v>0.19</v>
      </c>
      <c r="B78">
        <f t="shared" si="6"/>
        <v>4</v>
      </c>
      <c r="C78" s="3">
        <f t="shared" si="4"/>
        <v>90.5</v>
      </c>
      <c r="D78">
        <f t="shared" si="7"/>
        <v>92</v>
      </c>
    </row>
    <row r="79" spans="1:4" x14ac:dyDescent="0.2">
      <c r="A79" s="5">
        <f t="shared" si="5"/>
        <v>0.1925</v>
      </c>
      <c r="B79">
        <f t="shared" si="6"/>
        <v>4</v>
      </c>
      <c r="C79" s="3">
        <f t="shared" si="4"/>
        <v>90.375</v>
      </c>
      <c r="D79">
        <f t="shared" si="7"/>
        <v>92</v>
      </c>
    </row>
    <row r="80" spans="1:4" x14ac:dyDescent="0.2">
      <c r="A80" s="5">
        <f t="shared" si="5"/>
        <v>0.19500000000000001</v>
      </c>
      <c r="B80">
        <f t="shared" si="6"/>
        <v>4</v>
      </c>
      <c r="C80" s="3">
        <f t="shared" si="4"/>
        <v>90.25</v>
      </c>
      <c r="D80">
        <f t="shared" si="7"/>
        <v>92</v>
      </c>
    </row>
    <row r="81" spans="1:4" x14ac:dyDescent="0.2">
      <c r="A81" s="5">
        <f t="shared" si="5"/>
        <v>0.19750000000000001</v>
      </c>
      <c r="B81">
        <f t="shared" si="6"/>
        <v>4</v>
      </c>
      <c r="C81" s="3">
        <f t="shared" si="4"/>
        <v>90.125</v>
      </c>
      <c r="D81">
        <f t="shared" si="7"/>
        <v>92</v>
      </c>
    </row>
    <row r="82" spans="1:4" x14ac:dyDescent="0.2">
      <c r="A82" s="5">
        <f t="shared" si="5"/>
        <v>0.2</v>
      </c>
      <c r="B82">
        <f t="shared" si="6"/>
        <v>5</v>
      </c>
      <c r="C82" s="3">
        <f t="shared" si="4"/>
        <v>90</v>
      </c>
      <c r="D82">
        <f t="shared" si="7"/>
        <v>90</v>
      </c>
    </row>
    <row r="83" spans="1:4" x14ac:dyDescent="0.2">
      <c r="A83" s="5">
        <f t="shared" si="5"/>
        <v>0.20250000000000001</v>
      </c>
      <c r="B83">
        <f t="shared" si="6"/>
        <v>5</v>
      </c>
      <c r="C83" s="3">
        <f t="shared" si="4"/>
        <v>89.875</v>
      </c>
      <c r="D83">
        <f t="shared" si="7"/>
        <v>90</v>
      </c>
    </row>
    <row r="84" spans="1:4" x14ac:dyDescent="0.2">
      <c r="A84" s="5">
        <f t="shared" si="5"/>
        <v>0.20499999999999999</v>
      </c>
      <c r="B84">
        <f t="shared" si="6"/>
        <v>5</v>
      </c>
      <c r="C84" s="3">
        <f t="shared" ref="C84:C134" si="8">100-(A84/2*100)</f>
        <v>89.75</v>
      </c>
      <c r="D84">
        <f t="shared" si="7"/>
        <v>90</v>
      </c>
    </row>
    <row r="85" spans="1:4" x14ac:dyDescent="0.2">
      <c r="A85" s="5">
        <f t="shared" si="5"/>
        <v>0.20749999999999999</v>
      </c>
      <c r="B85">
        <f t="shared" si="6"/>
        <v>5</v>
      </c>
      <c r="C85" s="3">
        <f t="shared" si="8"/>
        <v>89.625</v>
      </c>
      <c r="D85">
        <f t="shared" si="7"/>
        <v>90</v>
      </c>
    </row>
    <row r="86" spans="1:4" x14ac:dyDescent="0.2">
      <c r="A86" s="5">
        <f t="shared" si="5"/>
        <v>0.21</v>
      </c>
      <c r="B86">
        <f t="shared" si="6"/>
        <v>5</v>
      </c>
      <c r="C86" s="3">
        <f t="shared" si="8"/>
        <v>89.5</v>
      </c>
      <c r="D86">
        <f t="shared" si="7"/>
        <v>90</v>
      </c>
    </row>
    <row r="87" spans="1:4" x14ac:dyDescent="0.2">
      <c r="A87" s="5">
        <f t="shared" si="5"/>
        <v>0.21249999999999999</v>
      </c>
      <c r="B87">
        <f t="shared" si="6"/>
        <v>5</v>
      </c>
      <c r="C87" s="3">
        <f t="shared" si="8"/>
        <v>89.375</v>
      </c>
      <c r="D87">
        <f t="shared" si="7"/>
        <v>90</v>
      </c>
    </row>
    <row r="88" spans="1:4" x14ac:dyDescent="0.2">
      <c r="A88" s="5">
        <f t="shared" si="5"/>
        <v>0.215</v>
      </c>
      <c r="B88">
        <f t="shared" si="6"/>
        <v>5</v>
      </c>
      <c r="C88" s="3">
        <f t="shared" si="8"/>
        <v>89.25</v>
      </c>
      <c r="D88">
        <f t="shared" si="7"/>
        <v>90</v>
      </c>
    </row>
    <row r="89" spans="1:4" x14ac:dyDescent="0.2">
      <c r="A89" s="5">
        <f t="shared" si="5"/>
        <v>0.2175</v>
      </c>
      <c r="B89">
        <f t="shared" si="6"/>
        <v>5</v>
      </c>
      <c r="C89" s="3">
        <f t="shared" si="8"/>
        <v>89.125</v>
      </c>
      <c r="D89">
        <f t="shared" si="7"/>
        <v>90</v>
      </c>
    </row>
    <row r="90" spans="1:4" x14ac:dyDescent="0.2">
      <c r="A90" s="5">
        <f t="shared" si="5"/>
        <v>0.22</v>
      </c>
      <c r="B90">
        <f t="shared" si="6"/>
        <v>5</v>
      </c>
      <c r="C90" s="3">
        <f t="shared" si="8"/>
        <v>89</v>
      </c>
      <c r="D90">
        <f t="shared" si="7"/>
        <v>90</v>
      </c>
    </row>
    <row r="91" spans="1:4" x14ac:dyDescent="0.2">
      <c r="A91" s="5">
        <f t="shared" si="5"/>
        <v>0.2225</v>
      </c>
      <c r="B91">
        <f t="shared" si="6"/>
        <v>5</v>
      </c>
      <c r="C91" s="3">
        <f t="shared" si="8"/>
        <v>88.875</v>
      </c>
      <c r="D91">
        <f t="shared" si="7"/>
        <v>90</v>
      </c>
    </row>
    <row r="92" spans="1:4" x14ac:dyDescent="0.2">
      <c r="A92" s="5">
        <f t="shared" si="5"/>
        <v>0.22500000000000001</v>
      </c>
      <c r="B92">
        <f t="shared" si="6"/>
        <v>5</v>
      </c>
      <c r="C92" s="3">
        <f t="shared" si="8"/>
        <v>88.75</v>
      </c>
      <c r="D92">
        <f t="shared" si="7"/>
        <v>90</v>
      </c>
    </row>
    <row r="93" spans="1:4" x14ac:dyDescent="0.2">
      <c r="A93" s="5">
        <f t="shared" si="5"/>
        <v>0.22750000000000001</v>
      </c>
      <c r="B93">
        <f t="shared" si="6"/>
        <v>5</v>
      </c>
      <c r="C93" s="3">
        <f t="shared" si="8"/>
        <v>88.625</v>
      </c>
      <c r="D93">
        <f t="shared" si="7"/>
        <v>90</v>
      </c>
    </row>
    <row r="94" spans="1:4" x14ac:dyDescent="0.2">
      <c r="A94" s="5">
        <f t="shared" si="5"/>
        <v>0.23</v>
      </c>
      <c r="B94">
        <f t="shared" si="6"/>
        <v>5</v>
      </c>
      <c r="C94" s="3">
        <f t="shared" si="8"/>
        <v>88.5</v>
      </c>
      <c r="D94">
        <f t="shared" si="7"/>
        <v>90</v>
      </c>
    </row>
    <row r="95" spans="1:4" x14ac:dyDescent="0.2">
      <c r="A95" s="5">
        <f t="shared" si="5"/>
        <v>0.23250000000000001</v>
      </c>
      <c r="B95">
        <f t="shared" si="6"/>
        <v>5</v>
      </c>
      <c r="C95" s="3">
        <f t="shared" si="8"/>
        <v>88.375</v>
      </c>
      <c r="D95">
        <f t="shared" si="7"/>
        <v>90</v>
      </c>
    </row>
    <row r="96" spans="1:4" x14ac:dyDescent="0.2">
      <c r="A96" s="5">
        <f t="shared" si="5"/>
        <v>0.23499999999999999</v>
      </c>
      <c r="B96">
        <f t="shared" si="6"/>
        <v>5</v>
      </c>
      <c r="C96" s="3">
        <f t="shared" si="8"/>
        <v>88.25</v>
      </c>
      <c r="D96">
        <f t="shared" si="7"/>
        <v>90</v>
      </c>
    </row>
    <row r="97" spans="1:4" x14ac:dyDescent="0.2">
      <c r="A97" s="5">
        <f t="shared" si="5"/>
        <v>0.23749999999999999</v>
      </c>
      <c r="B97">
        <f t="shared" si="6"/>
        <v>5</v>
      </c>
      <c r="C97" s="3">
        <f t="shared" si="8"/>
        <v>88.125</v>
      </c>
      <c r="D97">
        <f t="shared" si="7"/>
        <v>90</v>
      </c>
    </row>
    <row r="98" spans="1:4" x14ac:dyDescent="0.2">
      <c r="A98" s="5">
        <f t="shared" si="5"/>
        <v>0.24</v>
      </c>
      <c r="B98">
        <f t="shared" si="6"/>
        <v>6</v>
      </c>
      <c r="C98" s="3">
        <f t="shared" si="8"/>
        <v>88</v>
      </c>
      <c r="D98">
        <f t="shared" si="7"/>
        <v>88</v>
      </c>
    </row>
    <row r="99" spans="1:4" x14ac:dyDescent="0.2">
      <c r="A99" s="5">
        <f t="shared" si="5"/>
        <v>0.24249999999999999</v>
      </c>
      <c r="B99">
        <f t="shared" si="6"/>
        <v>6</v>
      </c>
      <c r="C99" s="3">
        <f t="shared" si="8"/>
        <v>87.875</v>
      </c>
      <c r="D99">
        <f t="shared" si="7"/>
        <v>88</v>
      </c>
    </row>
    <row r="100" spans="1:4" x14ac:dyDescent="0.2">
      <c r="A100" s="5">
        <f t="shared" si="5"/>
        <v>0.245</v>
      </c>
      <c r="B100">
        <f t="shared" si="6"/>
        <v>6</v>
      </c>
      <c r="C100" s="3">
        <f t="shared" si="8"/>
        <v>87.75</v>
      </c>
      <c r="D100">
        <f t="shared" si="7"/>
        <v>88</v>
      </c>
    </row>
    <row r="101" spans="1:4" x14ac:dyDescent="0.2">
      <c r="A101" s="5">
        <f t="shared" si="5"/>
        <v>0.2475</v>
      </c>
      <c r="B101">
        <f t="shared" si="6"/>
        <v>6</v>
      </c>
      <c r="C101" s="3">
        <f t="shared" si="8"/>
        <v>87.625</v>
      </c>
      <c r="D101">
        <f t="shared" si="7"/>
        <v>88</v>
      </c>
    </row>
    <row r="102" spans="1:4" x14ac:dyDescent="0.2">
      <c r="A102" s="5">
        <f t="shared" si="5"/>
        <v>0.25</v>
      </c>
      <c r="B102">
        <f t="shared" si="6"/>
        <v>6</v>
      </c>
      <c r="C102" s="3">
        <f t="shared" si="8"/>
        <v>87.5</v>
      </c>
      <c r="D102">
        <f t="shared" si="7"/>
        <v>88</v>
      </c>
    </row>
    <row r="103" spans="1:4" x14ac:dyDescent="0.2">
      <c r="A103" s="5">
        <f t="shared" si="5"/>
        <v>0.2525</v>
      </c>
      <c r="B103">
        <f t="shared" si="6"/>
        <v>6</v>
      </c>
      <c r="C103" s="3">
        <f t="shared" si="8"/>
        <v>87.375</v>
      </c>
      <c r="D103">
        <f t="shared" si="7"/>
        <v>88</v>
      </c>
    </row>
    <row r="104" spans="1:4" x14ac:dyDescent="0.2">
      <c r="A104" s="5">
        <f t="shared" si="5"/>
        <v>0.255</v>
      </c>
      <c r="B104">
        <f t="shared" si="6"/>
        <v>6</v>
      </c>
      <c r="C104" s="3">
        <f t="shared" si="8"/>
        <v>87.25</v>
      </c>
      <c r="D104">
        <f t="shared" si="7"/>
        <v>88</v>
      </c>
    </row>
    <row r="105" spans="1:4" x14ac:dyDescent="0.2">
      <c r="A105" s="5">
        <f t="shared" si="5"/>
        <v>0.25750000000000001</v>
      </c>
      <c r="B105">
        <f t="shared" si="6"/>
        <v>6</v>
      </c>
      <c r="C105" s="3">
        <f t="shared" si="8"/>
        <v>87.125</v>
      </c>
      <c r="D105">
        <f t="shared" si="7"/>
        <v>88</v>
      </c>
    </row>
    <row r="106" spans="1:4" x14ac:dyDescent="0.2">
      <c r="A106" s="5">
        <f t="shared" si="5"/>
        <v>0.26</v>
      </c>
      <c r="B106">
        <f t="shared" si="6"/>
        <v>6</v>
      </c>
      <c r="C106" s="3">
        <f t="shared" si="8"/>
        <v>87</v>
      </c>
      <c r="D106">
        <f t="shared" si="7"/>
        <v>88</v>
      </c>
    </row>
    <row r="107" spans="1:4" x14ac:dyDescent="0.2">
      <c r="A107" s="5">
        <f t="shared" si="5"/>
        <v>0.26250000000000001</v>
      </c>
      <c r="B107">
        <f t="shared" si="6"/>
        <v>6</v>
      </c>
      <c r="C107" s="3">
        <f t="shared" si="8"/>
        <v>86.875</v>
      </c>
      <c r="D107">
        <f t="shared" si="7"/>
        <v>88</v>
      </c>
    </row>
    <row r="108" spans="1:4" x14ac:dyDescent="0.2">
      <c r="A108" s="5">
        <f t="shared" si="5"/>
        <v>0.26500000000000001</v>
      </c>
      <c r="B108">
        <f t="shared" si="6"/>
        <v>6</v>
      </c>
      <c r="C108" s="3">
        <f t="shared" si="8"/>
        <v>86.75</v>
      </c>
      <c r="D108">
        <f t="shared" si="7"/>
        <v>88</v>
      </c>
    </row>
    <row r="109" spans="1:4" x14ac:dyDescent="0.2">
      <c r="A109" s="5">
        <f t="shared" si="5"/>
        <v>0.26750000000000002</v>
      </c>
      <c r="B109">
        <f t="shared" si="6"/>
        <v>6</v>
      </c>
      <c r="C109" s="3">
        <f t="shared" si="8"/>
        <v>86.625</v>
      </c>
      <c r="D109">
        <f t="shared" si="7"/>
        <v>88</v>
      </c>
    </row>
    <row r="110" spans="1:4" x14ac:dyDescent="0.2">
      <c r="A110" s="5">
        <f t="shared" si="5"/>
        <v>0.27</v>
      </c>
      <c r="B110">
        <f t="shared" si="6"/>
        <v>6</v>
      </c>
      <c r="C110" s="3">
        <f t="shared" si="8"/>
        <v>86.5</v>
      </c>
      <c r="D110">
        <f t="shared" si="7"/>
        <v>88</v>
      </c>
    </row>
    <row r="111" spans="1:4" x14ac:dyDescent="0.2">
      <c r="A111" s="5">
        <f t="shared" si="5"/>
        <v>0.27250000000000002</v>
      </c>
      <c r="B111">
        <f t="shared" si="6"/>
        <v>6</v>
      </c>
      <c r="C111" s="3">
        <f t="shared" si="8"/>
        <v>86.375</v>
      </c>
      <c r="D111">
        <f t="shared" si="7"/>
        <v>88</v>
      </c>
    </row>
    <row r="112" spans="1:4" x14ac:dyDescent="0.2">
      <c r="A112" s="5">
        <f t="shared" si="5"/>
        <v>0.27500000000000002</v>
      </c>
      <c r="B112">
        <f t="shared" si="6"/>
        <v>6</v>
      </c>
      <c r="C112" s="3">
        <f t="shared" si="8"/>
        <v>86.25</v>
      </c>
      <c r="D112">
        <f t="shared" si="7"/>
        <v>88</v>
      </c>
    </row>
    <row r="113" spans="1:4" x14ac:dyDescent="0.2">
      <c r="A113" s="5">
        <f t="shared" si="5"/>
        <v>0.27750000000000002</v>
      </c>
      <c r="B113">
        <f t="shared" si="6"/>
        <v>6</v>
      </c>
      <c r="C113" s="3">
        <f t="shared" si="8"/>
        <v>86.125</v>
      </c>
      <c r="D113">
        <f t="shared" si="7"/>
        <v>88</v>
      </c>
    </row>
    <row r="114" spans="1:4" x14ac:dyDescent="0.2">
      <c r="A114" s="5">
        <f t="shared" si="5"/>
        <v>0.28000000000000003</v>
      </c>
      <c r="B114">
        <f t="shared" si="6"/>
        <v>7</v>
      </c>
      <c r="C114" s="3">
        <f t="shared" si="8"/>
        <v>86</v>
      </c>
      <c r="D114">
        <f t="shared" si="7"/>
        <v>86</v>
      </c>
    </row>
    <row r="115" spans="1:4" x14ac:dyDescent="0.2">
      <c r="A115" s="5">
        <f t="shared" si="5"/>
        <v>0.28249999999999997</v>
      </c>
      <c r="B115">
        <f t="shared" si="6"/>
        <v>7</v>
      </c>
      <c r="C115" s="3">
        <f t="shared" si="8"/>
        <v>85.875</v>
      </c>
      <c r="D115">
        <f t="shared" si="7"/>
        <v>86</v>
      </c>
    </row>
    <row r="116" spans="1:4" x14ac:dyDescent="0.2">
      <c r="A116" s="5">
        <f t="shared" si="5"/>
        <v>0.28499999999999998</v>
      </c>
      <c r="B116">
        <f t="shared" si="6"/>
        <v>7</v>
      </c>
      <c r="C116" s="3">
        <f t="shared" si="8"/>
        <v>85.75</v>
      </c>
      <c r="D116">
        <f t="shared" si="7"/>
        <v>86</v>
      </c>
    </row>
    <row r="117" spans="1:4" x14ac:dyDescent="0.2">
      <c r="A117" s="5">
        <f t="shared" si="5"/>
        <v>0.28749999999999998</v>
      </c>
      <c r="B117">
        <f t="shared" si="6"/>
        <v>7</v>
      </c>
      <c r="C117" s="3">
        <f t="shared" si="8"/>
        <v>85.625</v>
      </c>
      <c r="D117">
        <f t="shared" si="7"/>
        <v>86</v>
      </c>
    </row>
    <row r="118" spans="1:4" x14ac:dyDescent="0.2">
      <c r="A118" s="5">
        <f t="shared" si="5"/>
        <v>0.28999999999999998</v>
      </c>
      <c r="B118">
        <f t="shared" si="6"/>
        <v>7</v>
      </c>
      <c r="C118" s="3">
        <f t="shared" si="8"/>
        <v>85.5</v>
      </c>
      <c r="D118">
        <f t="shared" si="7"/>
        <v>86</v>
      </c>
    </row>
    <row r="119" spans="1:4" x14ac:dyDescent="0.2">
      <c r="A119" s="5">
        <f t="shared" si="5"/>
        <v>0.29249999999999998</v>
      </c>
      <c r="B119">
        <f t="shared" si="6"/>
        <v>7</v>
      </c>
      <c r="C119" s="3">
        <f t="shared" si="8"/>
        <v>85.375</v>
      </c>
      <c r="D119">
        <f t="shared" si="7"/>
        <v>86</v>
      </c>
    </row>
    <row r="120" spans="1:4" x14ac:dyDescent="0.2">
      <c r="A120" s="5">
        <f t="shared" si="5"/>
        <v>0.29499999999999998</v>
      </c>
      <c r="B120">
        <f t="shared" si="6"/>
        <v>7</v>
      </c>
      <c r="C120" s="3">
        <f t="shared" si="8"/>
        <v>85.25</v>
      </c>
      <c r="D120">
        <f t="shared" si="7"/>
        <v>86</v>
      </c>
    </row>
    <row r="121" spans="1:4" x14ac:dyDescent="0.2">
      <c r="A121" s="5">
        <f t="shared" si="5"/>
        <v>0.29749999999999999</v>
      </c>
      <c r="B121">
        <f t="shared" si="6"/>
        <v>7</v>
      </c>
      <c r="C121" s="3">
        <f t="shared" si="8"/>
        <v>85.125</v>
      </c>
      <c r="D121">
        <f t="shared" si="7"/>
        <v>86</v>
      </c>
    </row>
    <row r="122" spans="1:4" x14ac:dyDescent="0.2">
      <c r="A122" s="5">
        <f t="shared" si="5"/>
        <v>0.3</v>
      </c>
      <c r="B122">
        <f t="shared" si="6"/>
        <v>7</v>
      </c>
      <c r="C122" s="3">
        <f t="shared" si="8"/>
        <v>85</v>
      </c>
      <c r="D122">
        <f t="shared" si="7"/>
        <v>86</v>
      </c>
    </row>
    <row r="123" spans="1:4" x14ac:dyDescent="0.2">
      <c r="A123" s="5">
        <f t="shared" si="5"/>
        <v>0.30249999999999999</v>
      </c>
      <c r="B123">
        <f t="shared" si="6"/>
        <v>7</v>
      </c>
      <c r="C123" s="3">
        <f t="shared" si="8"/>
        <v>84.875</v>
      </c>
      <c r="D123">
        <f t="shared" si="7"/>
        <v>86</v>
      </c>
    </row>
    <row r="124" spans="1:4" x14ac:dyDescent="0.2">
      <c r="A124" s="5">
        <f t="shared" si="5"/>
        <v>0.30499999999999999</v>
      </c>
      <c r="B124">
        <f t="shared" si="6"/>
        <v>7</v>
      </c>
      <c r="C124" s="3">
        <f t="shared" si="8"/>
        <v>84.75</v>
      </c>
      <c r="D124">
        <f t="shared" si="7"/>
        <v>86</v>
      </c>
    </row>
    <row r="125" spans="1:4" x14ac:dyDescent="0.2">
      <c r="A125" s="5">
        <f t="shared" si="5"/>
        <v>0.3075</v>
      </c>
      <c r="B125">
        <f t="shared" si="6"/>
        <v>7</v>
      </c>
      <c r="C125" s="3">
        <f t="shared" si="8"/>
        <v>84.625</v>
      </c>
      <c r="D125">
        <f t="shared" si="7"/>
        <v>86</v>
      </c>
    </row>
    <row r="126" spans="1:4" x14ac:dyDescent="0.2">
      <c r="A126" s="5">
        <f t="shared" si="5"/>
        <v>0.31</v>
      </c>
      <c r="B126">
        <f t="shared" si="6"/>
        <v>7</v>
      </c>
      <c r="C126" s="3">
        <f t="shared" si="8"/>
        <v>84.5</v>
      </c>
      <c r="D126">
        <f t="shared" si="7"/>
        <v>86</v>
      </c>
    </row>
    <row r="127" spans="1:4" x14ac:dyDescent="0.2">
      <c r="A127" s="5">
        <f t="shared" si="5"/>
        <v>0.3125</v>
      </c>
      <c r="B127">
        <f t="shared" si="6"/>
        <v>7</v>
      </c>
      <c r="C127" s="3">
        <f t="shared" si="8"/>
        <v>84.375</v>
      </c>
      <c r="D127">
        <f t="shared" si="7"/>
        <v>86</v>
      </c>
    </row>
    <row r="128" spans="1:4" x14ac:dyDescent="0.2">
      <c r="A128" s="5">
        <f t="shared" si="5"/>
        <v>0.315</v>
      </c>
      <c r="B128">
        <f t="shared" si="6"/>
        <v>7</v>
      </c>
      <c r="C128" s="3">
        <f t="shared" si="8"/>
        <v>84.25</v>
      </c>
      <c r="D128">
        <f t="shared" si="7"/>
        <v>86</v>
      </c>
    </row>
    <row r="129" spans="1:4" x14ac:dyDescent="0.2">
      <c r="A129" s="5">
        <f t="shared" si="5"/>
        <v>0.3175</v>
      </c>
      <c r="B129">
        <f t="shared" si="6"/>
        <v>7</v>
      </c>
      <c r="C129" s="3">
        <f t="shared" si="8"/>
        <v>84.125</v>
      </c>
      <c r="D129">
        <f t="shared" si="7"/>
        <v>86</v>
      </c>
    </row>
    <row r="130" spans="1:4" x14ac:dyDescent="0.2">
      <c r="A130" s="5">
        <f t="shared" si="5"/>
        <v>0.32</v>
      </c>
      <c r="B130">
        <f t="shared" si="6"/>
        <v>8</v>
      </c>
      <c r="C130" s="3">
        <f t="shared" si="8"/>
        <v>84</v>
      </c>
      <c r="D130">
        <f t="shared" si="7"/>
        <v>84</v>
      </c>
    </row>
    <row r="131" spans="1:4" x14ac:dyDescent="0.2">
      <c r="A131" s="5">
        <f t="shared" ref="A131:A194" si="9">(ROW()-2)/400</f>
        <v>0.32250000000000001</v>
      </c>
      <c r="B131">
        <f t="shared" ref="B131:B194" si="10">_xlfn.FLOOR.MATH(A131*25)</f>
        <v>8</v>
      </c>
      <c r="C131" s="3">
        <f t="shared" si="8"/>
        <v>83.875</v>
      </c>
      <c r="D131">
        <f t="shared" ref="D131:D194" si="11">100-B131*2</f>
        <v>84</v>
      </c>
    </row>
    <row r="132" spans="1:4" x14ac:dyDescent="0.2">
      <c r="A132" s="5">
        <f t="shared" si="9"/>
        <v>0.32500000000000001</v>
      </c>
      <c r="B132">
        <f t="shared" si="10"/>
        <v>8</v>
      </c>
      <c r="C132" s="3">
        <f t="shared" si="8"/>
        <v>83.75</v>
      </c>
      <c r="D132">
        <f t="shared" si="11"/>
        <v>84</v>
      </c>
    </row>
    <row r="133" spans="1:4" x14ac:dyDescent="0.2">
      <c r="A133" s="5">
        <f t="shared" si="9"/>
        <v>0.32750000000000001</v>
      </c>
      <c r="B133">
        <f t="shared" si="10"/>
        <v>8</v>
      </c>
      <c r="C133" s="3">
        <f t="shared" si="8"/>
        <v>83.625</v>
      </c>
      <c r="D133">
        <f t="shared" si="11"/>
        <v>84</v>
      </c>
    </row>
    <row r="134" spans="1:4" x14ac:dyDescent="0.2">
      <c r="A134" s="5">
        <f t="shared" si="9"/>
        <v>0.33</v>
      </c>
      <c r="B134">
        <f t="shared" si="10"/>
        <v>8</v>
      </c>
      <c r="C134" s="3">
        <f t="shared" si="8"/>
        <v>83.5</v>
      </c>
      <c r="D134">
        <f t="shared" si="11"/>
        <v>84</v>
      </c>
    </row>
    <row r="135" spans="1:4" x14ac:dyDescent="0.2">
      <c r="A135" s="5">
        <f t="shared" si="9"/>
        <v>0.33250000000000002</v>
      </c>
      <c r="B135">
        <f t="shared" si="10"/>
        <v>8</v>
      </c>
      <c r="C135" s="3">
        <f>100-(A135/2*100)</f>
        <v>83.375</v>
      </c>
      <c r="D135">
        <f t="shared" si="11"/>
        <v>84</v>
      </c>
    </row>
    <row r="136" spans="1:4" x14ac:dyDescent="0.2">
      <c r="A136" s="5">
        <f t="shared" si="9"/>
        <v>0.33500000000000002</v>
      </c>
      <c r="B136">
        <f t="shared" si="10"/>
        <v>8</v>
      </c>
      <c r="C136" s="3">
        <f t="shared" ref="C136:C160" si="12">100-(A136/2*100)</f>
        <v>83.25</v>
      </c>
      <c r="D136">
        <f t="shared" si="11"/>
        <v>84</v>
      </c>
    </row>
    <row r="137" spans="1:4" x14ac:dyDescent="0.2">
      <c r="A137" s="5">
        <f t="shared" si="9"/>
        <v>0.33750000000000002</v>
      </c>
      <c r="B137">
        <f t="shared" si="10"/>
        <v>8</v>
      </c>
      <c r="C137" s="3">
        <f t="shared" si="12"/>
        <v>83.125</v>
      </c>
      <c r="D137">
        <f t="shared" si="11"/>
        <v>84</v>
      </c>
    </row>
    <row r="138" spans="1:4" x14ac:dyDescent="0.2">
      <c r="A138" s="5">
        <f t="shared" si="9"/>
        <v>0.34</v>
      </c>
      <c r="B138">
        <f t="shared" si="10"/>
        <v>8</v>
      </c>
      <c r="C138" s="3">
        <f t="shared" si="12"/>
        <v>83</v>
      </c>
      <c r="D138">
        <f t="shared" si="11"/>
        <v>84</v>
      </c>
    </row>
    <row r="139" spans="1:4" x14ac:dyDescent="0.2">
      <c r="A139" s="5">
        <f t="shared" si="9"/>
        <v>0.34250000000000003</v>
      </c>
      <c r="B139">
        <f t="shared" si="10"/>
        <v>8</v>
      </c>
      <c r="C139" s="3">
        <f t="shared" si="12"/>
        <v>82.875</v>
      </c>
      <c r="D139">
        <f t="shared" si="11"/>
        <v>84</v>
      </c>
    </row>
    <row r="140" spans="1:4" x14ac:dyDescent="0.2">
      <c r="A140" s="5">
        <f t="shared" si="9"/>
        <v>0.34499999999999997</v>
      </c>
      <c r="B140">
        <f t="shared" si="10"/>
        <v>8</v>
      </c>
      <c r="C140" s="3">
        <f t="shared" si="12"/>
        <v>82.75</v>
      </c>
      <c r="D140">
        <f t="shared" si="11"/>
        <v>84</v>
      </c>
    </row>
    <row r="141" spans="1:4" x14ac:dyDescent="0.2">
      <c r="A141" s="5">
        <f t="shared" si="9"/>
        <v>0.34749999999999998</v>
      </c>
      <c r="B141">
        <f t="shared" si="10"/>
        <v>8</v>
      </c>
      <c r="C141" s="3">
        <f t="shared" si="12"/>
        <v>82.625</v>
      </c>
      <c r="D141">
        <f t="shared" si="11"/>
        <v>84</v>
      </c>
    </row>
    <row r="142" spans="1:4" x14ac:dyDescent="0.2">
      <c r="A142" s="5">
        <f t="shared" si="9"/>
        <v>0.35</v>
      </c>
      <c r="B142">
        <f t="shared" si="10"/>
        <v>8</v>
      </c>
      <c r="C142" s="3">
        <f t="shared" si="12"/>
        <v>82.5</v>
      </c>
      <c r="D142">
        <f t="shared" si="11"/>
        <v>84</v>
      </c>
    </row>
    <row r="143" spans="1:4" x14ac:dyDescent="0.2">
      <c r="A143" s="5">
        <f t="shared" si="9"/>
        <v>0.35249999999999998</v>
      </c>
      <c r="B143">
        <f t="shared" si="10"/>
        <v>8</v>
      </c>
      <c r="C143" s="3">
        <f t="shared" si="12"/>
        <v>82.375</v>
      </c>
      <c r="D143">
        <f t="shared" si="11"/>
        <v>84</v>
      </c>
    </row>
    <row r="144" spans="1:4" x14ac:dyDescent="0.2">
      <c r="A144" s="5">
        <f t="shared" si="9"/>
        <v>0.35499999999999998</v>
      </c>
      <c r="B144">
        <f t="shared" si="10"/>
        <v>8</v>
      </c>
      <c r="C144" s="3">
        <f t="shared" si="12"/>
        <v>82.25</v>
      </c>
      <c r="D144">
        <f t="shared" si="11"/>
        <v>84</v>
      </c>
    </row>
    <row r="145" spans="1:4" x14ac:dyDescent="0.2">
      <c r="A145" s="5">
        <f t="shared" si="9"/>
        <v>0.35749999999999998</v>
      </c>
      <c r="B145">
        <f t="shared" si="10"/>
        <v>8</v>
      </c>
      <c r="C145" s="3">
        <f t="shared" si="12"/>
        <v>82.125</v>
      </c>
      <c r="D145">
        <f t="shared" si="11"/>
        <v>84</v>
      </c>
    </row>
    <row r="146" spans="1:4" x14ac:dyDescent="0.2">
      <c r="A146" s="5">
        <f t="shared" si="9"/>
        <v>0.36</v>
      </c>
      <c r="B146">
        <f t="shared" si="10"/>
        <v>9</v>
      </c>
      <c r="C146" s="3">
        <f t="shared" si="12"/>
        <v>82</v>
      </c>
      <c r="D146">
        <f t="shared" si="11"/>
        <v>82</v>
      </c>
    </row>
    <row r="147" spans="1:4" x14ac:dyDescent="0.2">
      <c r="A147" s="5">
        <f t="shared" si="9"/>
        <v>0.36249999999999999</v>
      </c>
      <c r="B147">
        <f t="shared" si="10"/>
        <v>9</v>
      </c>
      <c r="C147" s="3">
        <f t="shared" si="12"/>
        <v>81.875</v>
      </c>
      <c r="D147">
        <f t="shared" si="11"/>
        <v>82</v>
      </c>
    </row>
    <row r="148" spans="1:4" x14ac:dyDescent="0.2">
      <c r="A148" s="5">
        <f t="shared" si="9"/>
        <v>0.36499999999999999</v>
      </c>
      <c r="B148">
        <f t="shared" si="10"/>
        <v>9</v>
      </c>
      <c r="C148" s="3">
        <f t="shared" si="12"/>
        <v>81.75</v>
      </c>
      <c r="D148">
        <f t="shared" si="11"/>
        <v>82</v>
      </c>
    </row>
    <row r="149" spans="1:4" x14ac:dyDescent="0.2">
      <c r="A149" s="5">
        <f t="shared" si="9"/>
        <v>0.36749999999999999</v>
      </c>
      <c r="B149">
        <f t="shared" si="10"/>
        <v>9</v>
      </c>
      <c r="C149" s="3">
        <f t="shared" si="12"/>
        <v>81.625</v>
      </c>
      <c r="D149">
        <f t="shared" si="11"/>
        <v>82</v>
      </c>
    </row>
    <row r="150" spans="1:4" x14ac:dyDescent="0.2">
      <c r="A150" s="5">
        <f t="shared" si="9"/>
        <v>0.37</v>
      </c>
      <c r="B150">
        <f t="shared" si="10"/>
        <v>9</v>
      </c>
      <c r="C150" s="3">
        <f t="shared" si="12"/>
        <v>81.5</v>
      </c>
      <c r="D150">
        <f t="shared" si="11"/>
        <v>82</v>
      </c>
    </row>
    <row r="151" spans="1:4" x14ac:dyDescent="0.2">
      <c r="A151" s="5">
        <f t="shared" si="9"/>
        <v>0.3725</v>
      </c>
      <c r="B151">
        <f t="shared" si="10"/>
        <v>9</v>
      </c>
      <c r="C151" s="3">
        <f t="shared" si="12"/>
        <v>81.375</v>
      </c>
      <c r="D151">
        <f t="shared" si="11"/>
        <v>82</v>
      </c>
    </row>
    <row r="152" spans="1:4" x14ac:dyDescent="0.2">
      <c r="A152" s="5">
        <f t="shared" si="9"/>
        <v>0.375</v>
      </c>
      <c r="B152">
        <f t="shared" si="10"/>
        <v>9</v>
      </c>
      <c r="C152" s="3">
        <f t="shared" si="12"/>
        <v>81.25</v>
      </c>
      <c r="D152">
        <f t="shared" si="11"/>
        <v>82</v>
      </c>
    </row>
    <row r="153" spans="1:4" x14ac:dyDescent="0.2">
      <c r="A153" s="5">
        <f t="shared" si="9"/>
        <v>0.3775</v>
      </c>
      <c r="B153">
        <f t="shared" si="10"/>
        <v>9</v>
      </c>
      <c r="C153" s="3">
        <f t="shared" si="12"/>
        <v>81.125</v>
      </c>
      <c r="D153">
        <f t="shared" si="11"/>
        <v>82</v>
      </c>
    </row>
    <row r="154" spans="1:4" x14ac:dyDescent="0.2">
      <c r="A154" s="5">
        <f t="shared" si="9"/>
        <v>0.38</v>
      </c>
      <c r="B154">
        <f t="shared" si="10"/>
        <v>9</v>
      </c>
      <c r="C154" s="3">
        <f t="shared" si="12"/>
        <v>81</v>
      </c>
      <c r="D154">
        <f t="shared" si="11"/>
        <v>82</v>
      </c>
    </row>
    <row r="155" spans="1:4" x14ac:dyDescent="0.2">
      <c r="A155" s="5">
        <f t="shared" si="9"/>
        <v>0.38250000000000001</v>
      </c>
      <c r="B155">
        <f t="shared" si="10"/>
        <v>9</v>
      </c>
      <c r="C155" s="3">
        <f t="shared" si="12"/>
        <v>80.875</v>
      </c>
      <c r="D155">
        <f t="shared" si="11"/>
        <v>82</v>
      </c>
    </row>
    <row r="156" spans="1:4" x14ac:dyDescent="0.2">
      <c r="A156" s="5">
        <f t="shared" si="9"/>
        <v>0.38500000000000001</v>
      </c>
      <c r="B156">
        <f t="shared" si="10"/>
        <v>9</v>
      </c>
      <c r="C156" s="3">
        <f t="shared" si="12"/>
        <v>80.75</v>
      </c>
      <c r="D156">
        <f t="shared" si="11"/>
        <v>82</v>
      </c>
    </row>
    <row r="157" spans="1:4" x14ac:dyDescent="0.2">
      <c r="A157" s="5">
        <f t="shared" si="9"/>
        <v>0.38750000000000001</v>
      </c>
      <c r="B157">
        <f t="shared" si="10"/>
        <v>9</v>
      </c>
      <c r="C157" s="3">
        <f t="shared" si="12"/>
        <v>80.625</v>
      </c>
      <c r="D157">
        <f t="shared" si="11"/>
        <v>82</v>
      </c>
    </row>
    <row r="158" spans="1:4" x14ac:dyDescent="0.2">
      <c r="A158" s="5">
        <f t="shared" si="9"/>
        <v>0.39</v>
      </c>
      <c r="B158">
        <f t="shared" si="10"/>
        <v>9</v>
      </c>
      <c r="C158" s="3">
        <f t="shared" si="12"/>
        <v>80.5</v>
      </c>
      <c r="D158">
        <f t="shared" si="11"/>
        <v>82</v>
      </c>
    </row>
    <row r="159" spans="1:4" x14ac:dyDescent="0.2">
      <c r="A159" s="5">
        <f t="shared" si="9"/>
        <v>0.39250000000000002</v>
      </c>
      <c r="B159">
        <f t="shared" si="10"/>
        <v>9</v>
      </c>
      <c r="C159" s="3">
        <f t="shared" si="12"/>
        <v>80.375</v>
      </c>
      <c r="D159">
        <f t="shared" si="11"/>
        <v>82</v>
      </c>
    </row>
    <row r="160" spans="1:4" x14ac:dyDescent="0.2">
      <c r="A160" s="5">
        <f t="shared" si="9"/>
        <v>0.39500000000000002</v>
      </c>
      <c r="B160">
        <f t="shared" si="10"/>
        <v>9</v>
      </c>
      <c r="C160" s="3">
        <f t="shared" si="12"/>
        <v>80.25</v>
      </c>
      <c r="D160">
        <f t="shared" si="11"/>
        <v>82</v>
      </c>
    </row>
    <row r="161" spans="1:4" x14ac:dyDescent="0.2">
      <c r="A161" s="5">
        <f t="shared" si="9"/>
        <v>0.39750000000000002</v>
      </c>
      <c r="B161">
        <f t="shared" si="10"/>
        <v>9</v>
      </c>
      <c r="C161" s="3">
        <f>100-(A161/2*100)</f>
        <v>80.125</v>
      </c>
      <c r="D161">
        <f t="shared" si="11"/>
        <v>82</v>
      </c>
    </row>
    <row r="162" spans="1:4" x14ac:dyDescent="0.2">
      <c r="A162" s="5">
        <f t="shared" si="9"/>
        <v>0.4</v>
      </c>
      <c r="B162">
        <f t="shared" si="10"/>
        <v>10</v>
      </c>
      <c r="C162" s="3">
        <f t="shared" ref="C162:C188" si="13">100-(A162/2*100)</f>
        <v>80</v>
      </c>
      <c r="D162">
        <f t="shared" si="11"/>
        <v>80</v>
      </c>
    </row>
    <row r="163" spans="1:4" x14ac:dyDescent="0.2">
      <c r="A163" s="5">
        <f t="shared" si="9"/>
        <v>0.40250000000000002</v>
      </c>
      <c r="B163">
        <f t="shared" si="10"/>
        <v>10</v>
      </c>
      <c r="C163" s="3">
        <f t="shared" si="13"/>
        <v>79.875</v>
      </c>
      <c r="D163">
        <f t="shared" si="11"/>
        <v>80</v>
      </c>
    </row>
    <row r="164" spans="1:4" x14ac:dyDescent="0.2">
      <c r="A164" s="5">
        <f t="shared" si="9"/>
        <v>0.40500000000000003</v>
      </c>
      <c r="B164">
        <f t="shared" si="10"/>
        <v>10</v>
      </c>
      <c r="C164" s="3">
        <f t="shared" si="13"/>
        <v>79.75</v>
      </c>
      <c r="D164">
        <f t="shared" si="11"/>
        <v>80</v>
      </c>
    </row>
    <row r="165" spans="1:4" x14ac:dyDescent="0.2">
      <c r="A165" s="5">
        <f t="shared" si="9"/>
        <v>0.40749999999999997</v>
      </c>
      <c r="B165">
        <f t="shared" si="10"/>
        <v>10</v>
      </c>
      <c r="C165" s="3">
        <f t="shared" si="13"/>
        <v>79.625</v>
      </c>
      <c r="D165">
        <f t="shared" si="11"/>
        <v>80</v>
      </c>
    </row>
    <row r="166" spans="1:4" x14ac:dyDescent="0.2">
      <c r="A166" s="5">
        <f t="shared" si="9"/>
        <v>0.41</v>
      </c>
      <c r="B166">
        <f t="shared" si="10"/>
        <v>10</v>
      </c>
      <c r="C166" s="3">
        <f t="shared" si="13"/>
        <v>79.5</v>
      </c>
      <c r="D166">
        <f t="shared" si="11"/>
        <v>80</v>
      </c>
    </row>
    <row r="167" spans="1:4" x14ac:dyDescent="0.2">
      <c r="A167" s="5">
        <f t="shared" si="9"/>
        <v>0.41249999999999998</v>
      </c>
      <c r="B167">
        <f t="shared" si="10"/>
        <v>10</v>
      </c>
      <c r="C167" s="3">
        <f t="shared" si="13"/>
        <v>79.375</v>
      </c>
      <c r="D167">
        <f t="shared" si="11"/>
        <v>80</v>
      </c>
    </row>
    <row r="168" spans="1:4" x14ac:dyDescent="0.2">
      <c r="A168" s="5">
        <f t="shared" si="9"/>
        <v>0.41499999999999998</v>
      </c>
      <c r="B168">
        <f t="shared" si="10"/>
        <v>10</v>
      </c>
      <c r="C168" s="3">
        <f t="shared" si="13"/>
        <v>79.25</v>
      </c>
      <c r="D168">
        <f t="shared" si="11"/>
        <v>80</v>
      </c>
    </row>
    <row r="169" spans="1:4" x14ac:dyDescent="0.2">
      <c r="A169" s="5">
        <f t="shared" si="9"/>
        <v>0.41749999999999998</v>
      </c>
      <c r="B169">
        <f t="shared" si="10"/>
        <v>10</v>
      </c>
      <c r="C169" s="3">
        <f t="shared" si="13"/>
        <v>79.125</v>
      </c>
      <c r="D169">
        <f t="shared" si="11"/>
        <v>80</v>
      </c>
    </row>
    <row r="170" spans="1:4" x14ac:dyDescent="0.2">
      <c r="A170" s="5">
        <f t="shared" si="9"/>
        <v>0.42</v>
      </c>
      <c r="B170">
        <f t="shared" si="10"/>
        <v>10</v>
      </c>
      <c r="C170" s="3">
        <f t="shared" si="13"/>
        <v>79</v>
      </c>
      <c r="D170">
        <f t="shared" si="11"/>
        <v>80</v>
      </c>
    </row>
    <row r="171" spans="1:4" x14ac:dyDescent="0.2">
      <c r="A171" s="5">
        <f t="shared" si="9"/>
        <v>0.42249999999999999</v>
      </c>
      <c r="B171">
        <f t="shared" si="10"/>
        <v>10</v>
      </c>
      <c r="C171" s="3">
        <f t="shared" si="13"/>
        <v>78.875</v>
      </c>
      <c r="D171">
        <f t="shared" si="11"/>
        <v>80</v>
      </c>
    </row>
    <row r="172" spans="1:4" x14ac:dyDescent="0.2">
      <c r="A172" s="5">
        <f t="shared" si="9"/>
        <v>0.42499999999999999</v>
      </c>
      <c r="B172">
        <f t="shared" si="10"/>
        <v>10</v>
      </c>
      <c r="C172" s="3">
        <f t="shared" si="13"/>
        <v>78.75</v>
      </c>
      <c r="D172">
        <f t="shared" si="11"/>
        <v>80</v>
      </c>
    </row>
    <row r="173" spans="1:4" x14ac:dyDescent="0.2">
      <c r="A173" s="5">
        <f t="shared" si="9"/>
        <v>0.42749999999999999</v>
      </c>
      <c r="B173">
        <f t="shared" si="10"/>
        <v>10</v>
      </c>
      <c r="C173" s="3">
        <f t="shared" si="13"/>
        <v>78.625</v>
      </c>
      <c r="D173">
        <f t="shared" si="11"/>
        <v>80</v>
      </c>
    </row>
    <row r="174" spans="1:4" x14ac:dyDescent="0.2">
      <c r="A174" s="5">
        <f t="shared" si="9"/>
        <v>0.43</v>
      </c>
      <c r="B174">
        <f t="shared" si="10"/>
        <v>10</v>
      </c>
      <c r="C174" s="3">
        <f t="shared" si="13"/>
        <v>78.5</v>
      </c>
      <c r="D174">
        <f t="shared" si="11"/>
        <v>80</v>
      </c>
    </row>
    <row r="175" spans="1:4" x14ac:dyDescent="0.2">
      <c r="A175" s="5">
        <f t="shared" si="9"/>
        <v>0.4325</v>
      </c>
      <c r="B175">
        <f t="shared" si="10"/>
        <v>10</v>
      </c>
      <c r="C175" s="3">
        <f t="shared" si="13"/>
        <v>78.375</v>
      </c>
      <c r="D175">
        <f t="shared" si="11"/>
        <v>80</v>
      </c>
    </row>
    <row r="176" spans="1:4" x14ac:dyDescent="0.2">
      <c r="A176" s="5">
        <f t="shared" si="9"/>
        <v>0.435</v>
      </c>
      <c r="B176">
        <f t="shared" si="10"/>
        <v>10</v>
      </c>
      <c r="C176" s="3">
        <f t="shared" si="13"/>
        <v>78.25</v>
      </c>
      <c r="D176">
        <f t="shared" si="11"/>
        <v>80</v>
      </c>
    </row>
    <row r="177" spans="1:4" x14ac:dyDescent="0.2">
      <c r="A177" s="5">
        <f t="shared" si="9"/>
        <v>0.4375</v>
      </c>
      <c r="B177">
        <f t="shared" si="10"/>
        <v>10</v>
      </c>
      <c r="C177" s="3">
        <f t="shared" si="13"/>
        <v>78.125</v>
      </c>
      <c r="D177">
        <f t="shared" si="11"/>
        <v>80</v>
      </c>
    </row>
    <row r="178" spans="1:4" x14ac:dyDescent="0.2">
      <c r="A178" s="5">
        <f t="shared" si="9"/>
        <v>0.44</v>
      </c>
      <c r="B178">
        <f t="shared" si="10"/>
        <v>11</v>
      </c>
      <c r="C178" s="3">
        <f t="shared" si="13"/>
        <v>78</v>
      </c>
      <c r="D178">
        <f t="shared" si="11"/>
        <v>78</v>
      </c>
    </row>
    <row r="179" spans="1:4" x14ac:dyDescent="0.2">
      <c r="A179" s="5">
        <f t="shared" si="9"/>
        <v>0.4425</v>
      </c>
      <c r="B179">
        <f t="shared" si="10"/>
        <v>11</v>
      </c>
      <c r="C179" s="3">
        <f t="shared" si="13"/>
        <v>77.875</v>
      </c>
      <c r="D179">
        <f t="shared" si="11"/>
        <v>78</v>
      </c>
    </row>
    <row r="180" spans="1:4" x14ac:dyDescent="0.2">
      <c r="A180" s="5">
        <f t="shared" si="9"/>
        <v>0.44500000000000001</v>
      </c>
      <c r="B180">
        <f t="shared" si="10"/>
        <v>11</v>
      </c>
      <c r="C180" s="3">
        <f t="shared" si="13"/>
        <v>77.75</v>
      </c>
      <c r="D180">
        <f t="shared" si="11"/>
        <v>78</v>
      </c>
    </row>
    <row r="181" spans="1:4" x14ac:dyDescent="0.2">
      <c r="A181" s="5">
        <f t="shared" si="9"/>
        <v>0.44750000000000001</v>
      </c>
      <c r="B181">
        <f t="shared" si="10"/>
        <v>11</v>
      </c>
      <c r="C181" s="3">
        <f t="shared" si="13"/>
        <v>77.625</v>
      </c>
      <c r="D181">
        <f t="shared" si="11"/>
        <v>78</v>
      </c>
    </row>
    <row r="182" spans="1:4" x14ac:dyDescent="0.2">
      <c r="A182" s="5">
        <f t="shared" si="9"/>
        <v>0.45</v>
      </c>
      <c r="B182">
        <f t="shared" si="10"/>
        <v>11</v>
      </c>
      <c r="C182" s="3">
        <f t="shared" si="13"/>
        <v>77.5</v>
      </c>
      <c r="D182">
        <f t="shared" si="11"/>
        <v>78</v>
      </c>
    </row>
    <row r="183" spans="1:4" x14ac:dyDescent="0.2">
      <c r="A183" s="5">
        <f t="shared" si="9"/>
        <v>0.45250000000000001</v>
      </c>
      <c r="B183">
        <f t="shared" si="10"/>
        <v>11</v>
      </c>
      <c r="C183" s="3">
        <f t="shared" si="13"/>
        <v>77.375</v>
      </c>
      <c r="D183">
        <f t="shared" si="11"/>
        <v>78</v>
      </c>
    </row>
    <row r="184" spans="1:4" x14ac:dyDescent="0.2">
      <c r="A184" s="5">
        <f t="shared" si="9"/>
        <v>0.45500000000000002</v>
      </c>
      <c r="B184">
        <f t="shared" si="10"/>
        <v>11</v>
      </c>
      <c r="C184" s="3">
        <f t="shared" si="13"/>
        <v>77.25</v>
      </c>
      <c r="D184">
        <f t="shared" si="11"/>
        <v>78</v>
      </c>
    </row>
    <row r="185" spans="1:4" x14ac:dyDescent="0.2">
      <c r="A185" s="5">
        <f t="shared" si="9"/>
        <v>0.45750000000000002</v>
      </c>
      <c r="B185">
        <f t="shared" si="10"/>
        <v>11</v>
      </c>
      <c r="C185" s="3">
        <f t="shared" si="13"/>
        <v>77.125</v>
      </c>
      <c r="D185">
        <f t="shared" si="11"/>
        <v>78</v>
      </c>
    </row>
    <row r="186" spans="1:4" x14ac:dyDescent="0.2">
      <c r="A186" s="5">
        <f t="shared" si="9"/>
        <v>0.46</v>
      </c>
      <c r="B186">
        <f t="shared" si="10"/>
        <v>11</v>
      </c>
      <c r="C186" s="3">
        <f t="shared" si="13"/>
        <v>77</v>
      </c>
      <c r="D186">
        <f t="shared" si="11"/>
        <v>78</v>
      </c>
    </row>
    <row r="187" spans="1:4" x14ac:dyDescent="0.2">
      <c r="A187" s="5">
        <f t="shared" si="9"/>
        <v>0.46250000000000002</v>
      </c>
      <c r="B187">
        <f t="shared" si="10"/>
        <v>11</v>
      </c>
      <c r="C187" s="3">
        <f t="shared" si="13"/>
        <v>76.875</v>
      </c>
      <c r="D187">
        <f t="shared" si="11"/>
        <v>78</v>
      </c>
    </row>
    <row r="188" spans="1:4" x14ac:dyDescent="0.2">
      <c r="A188" s="5">
        <f t="shared" si="9"/>
        <v>0.46500000000000002</v>
      </c>
      <c r="B188">
        <f t="shared" si="10"/>
        <v>11</v>
      </c>
      <c r="C188" s="3">
        <f t="shared" si="13"/>
        <v>76.75</v>
      </c>
      <c r="D188">
        <f t="shared" si="11"/>
        <v>78</v>
      </c>
    </row>
    <row r="189" spans="1:4" x14ac:dyDescent="0.2">
      <c r="A189" s="5">
        <f t="shared" si="9"/>
        <v>0.46750000000000003</v>
      </c>
      <c r="B189">
        <f t="shared" si="10"/>
        <v>11</v>
      </c>
      <c r="C189" s="3">
        <f>100-(A189/2*100)</f>
        <v>76.625</v>
      </c>
      <c r="D189">
        <f t="shared" si="11"/>
        <v>78</v>
      </c>
    </row>
    <row r="190" spans="1:4" x14ac:dyDescent="0.2">
      <c r="A190" s="5">
        <f t="shared" si="9"/>
        <v>0.47</v>
      </c>
      <c r="B190">
        <f t="shared" si="10"/>
        <v>11</v>
      </c>
      <c r="C190" s="3">
        <f t="shared" ref="C190:C202" si="14">100-(A190/2*100)</f>
        <v>76.5</v>
      </c>
      <c r="D190">
        <f t="shared" si="11"/>
        <v>78</v>
      </c>
    </row>
    <row r="191" spans="1:4" x14ac:dyDescent="0.2">
      <c r="A191" s="5">
        <f t="shared" si="9"/>
        <v>0.47249999999999998</v>
      </c>
      <c r="B191">
        <f t="shared" si="10"/>
        <v>11</v>
      </c>
      <c r="C191" s="3">
        <f t="shared" si="14"/>
        <v>76.375</v>
      </c>
      <c r="D191">
        <f t="shared" si="11"/>
        <v>78</v>
      </c>
    </row>
    <row r="192" spans="1:4" x14ac:dyDescent="0.2">
      <c r="A192" s="5">
        <f t="shared" si="9"/>
        <v>0.47499999999999998</v>
      </c>
      <c r="B192">
        <f t="shared" si="10"/>
        <v>11</v>
      </c>
      <c r="C192" s="3">
        <f t="shared" si="14"/>
        <v>76.25</v>
      </c>
      <c r="D192">
        <f t="shared" si="11"/>
        <v>78</v>
      </c>
    </row>
    <row r="193" spans="1:4" x14ac:dyDescent="0.2">
      <c r="A193" s="5">
        <f t="shared" si="9"/>
        <v>0.47749999999999998</v>
      </c>
      <c r="B193">
        <f t="shared" si="10"/>
        <v>11</v>
      </c>
      <c r="C193" s="3">
        <f t="shared" si="14"/>
        <v>76.125</v>
      </c>
      <c r="D193">
        <f t="shared" si="11"/>
        <v>78</v>
      </c>
    </row>
    <row r="194" spans="1:4" x14ac:dyDescent="0.2">
      <c r="A194" s="5">
        <f t="shared" si="9"/>
        <v>0.48</v>
      </c>
      <c r="B194">
        <f t="shared" si="10"/>
        <v>12</v>
      </c>
      <c r="C194" s="3">
        <f t="shared" si="14"/>
        <v>76</v>
      </c>
      <c r="D194">
        <f t="shared" si="11"/>
        <v>76</v>
      </c>
    </row>
    <row r="195" spans="1:4" x14ac:dyDescent="0.2">
      <c r="A195" s="5">
        <f t="shared" ref="A195:A258" si="15">(ROW()-2)/400</f>
        <v>0.48249999999999998</v>
      </c>
      <c r="B195">
        <f t="shared" ref="B195:B258" si="16">_xlfn.FLOOR.MATH(A195*25)</f>
        <v>12</v>
      </c>
      <c r="C195" s="3">
        <f t="shared" si="14"/>
        <v>75.875</v>
      </c>
      <c r="D195">
        <f t="shared" ref="D195:D202" si="17">100-B195*2</f>
        <v>76</v>
      </c>
    </row>
    <row r="196" spans="1:4" x14ac:dyDescent="0.2">
      <c r="A196" s="5">
        <f t="shared" si="15"/>
        <v>0.48499999999999999</v>
      </c>
      <c r="B196">
        <f t="shared" si="16"/>
        <v>12</v>
      </c>
      <c r="C196" s="3">
        <f t="shared" si="14"/>
        <v>75.75</v>
      </c>
      <c r="D196">
        <f t="shared" si="17"/>
        <v>76</v>
      </c>
    </row>
    <row r="197" spans="1:4" x14ac:dyDescent="0.2">
      <c r="A197" s="5">
        <f t="shared" si="15"/>
        <v>0.48749999999999999</v>
      </c>
      <c r="B197">
        <f t="shared" si="16"/>
        <v>12</v>
      </c>
      <c r="C197" s="3">
        <f t="shared" si="14"/>
        <v>75.625</v>
      </c>
      <c r="D197">
        <f t="shared" si="17"/>
        <v>76</v>
      </c>
    </row>
    <row r="198" spans="1:4" x14ac:dyDescent="0.2">
      <c r="A198" s="5">
        <f t="shared" si="15"/>
        <v>0.49</v>
      </c>
      <c r="B198">
        <f t="shared" si="16"/>
        <v>12</v>
      </c>
      <c r="C198" s="3">
        <f t="shared" si="14"/>
        <v>75.5</v>
      </c>
      <c r="D198">
        <f t="shared" si="17"/>
        <v>76</v>
      </c>
    </row>
    <row r="199" spans="1:4" x14ac:dyDescent="0.2">
      <c r="A199" s="5">
        <f t="shared" si="15"/>
        <v>0.49249999999999999</v>
      </c>
      <c r="B199">
        <f t="shared" si="16"/>
        <v>12</v>
      </c>
      <c r="C199" s="3">
        <f t="shared" si="14"/>
        <v>75.375</v>
      </c>
      <c r="D199">
        <f t="shared" si="17"/>
        <v>76</v>
      </c>
    </row>
    <row r="200" spans="1:4" x14ac:dyDescent="0.2">
      <c r="A200" s="5">
        <f t="shared" si="15"/>
        <v>0.495</v>
      </c>
      <c r="B200">
        <f t="shared" si="16"/>
        <v>12</v>
      </c>
      <c r="C200" s="3">
        <f t="shared" si="14"/>
        <v>75.25</v>
      </c>
      <c r="D200">
        <f t="shared" si="17"/>
        <v>76</v>
      </c>
    </row>
    <row r="201" spans="1:4" x14ac:dyDescent="0.2">
      <c r="A201" s="5">
        <f t="shared" si="15"/>
        <v>0.4975</v>
      </c>
      <c r="B201">
        <f t="shared" si="16"/>
        <v>12</v>
      </c>
      <c r="C201" s="3">
        <f t="shared" si="14"/>
        <v>75.125</v>
      </c>
      <c r="D201">
        <f t="shared" si="17"/>
        <v>76</v>
      </c>
    </row>
    <row r="202" spans="1:4" x14ac:dyDescent="0.2">
      <c r="A202" s="5">
        <f t="shared" si="15"/>
        <v>0.5</v>
      </c>
      <c r="B202">
        <f t="shared" si="16"/>
        <v>12</v>
      </c>
      <c r="C202" s="3">
        <f t="shared" si="14"/>
        <v>75</v>
      </c>
      <c r="D202">
        <f t="shared" si="17"/>
        <v>76</v>
      </c>
    </row>
    <row r="203" spans="1:4" x14ac:dyDescent="0.2">
      <c r="A203" s="5">
        <f t="shared" si="15"/>
        <v>0.50249999999999995</v>
      </c>
      <c r="B203">
        <f t="shared" si="16"/>
        <v>12</v>
      </c>
      <c r="C203" s="3">
        <f t="shared" ref="C203:C266" si="18">100-(A203/2*100)</f>
        <v>74.875</v>
      </c>
      <c r="D203">
        <f t="shared" ref="D203:D266" si="19">100-B203*2</f>
        <v>76</v>
      </c>
    </row>
    <row r="204" spans="1:4" x14ac:dyDescent="0.2">
      <c r="A204" s="5">
        <f t="shared" si="15"/>
        <v>0.505</v>
      </c>
      <c r="B204">
        <f t="shared" si="16"/>
        <v>12</v>
      </c>
      <c r="C204" s="3">
        <f t="shared" si="18"/>
        <v>74.75</v>
      </c>
      <c r="D204">
        <f t="shared" si="19"/>
        <v>76</v>
      </c>
    </row>
    <row r="205" spans="1:4" x14ac:dyDescent="0.2">
      <c r="A205" s="5">
        <f t="shared" si="15"/>
        <v>0.50749999999999995</v>
      </c>
      <c r="B205">
        <f t="shared" si="16"/>
        <v>12</v>
      </c>
      <c r="C205" s="3">
        <f t="shared" si="18"/>
        <v>74.625</v>
      </c>
      <c r="D205">
        <f t="shared" si="19"/>
        <v>76</v>
      </c>
    </row>
    <row r="206" spans="1:4" x14ac:dyDescent="0.2">
      <c r="A206" s="5">
        <f t="shared" si="15"/>
        <v>0.51</v>
      </c>
      <c r="B206">
        <f t="shared" si="16"/>
        <v>12</v>
      </c>
      <c r="C206" s="3">
        <f t="shared" si="18"/>
        <v>74.5</v>
      </c>
      <c r="D206">
        <f t="shared" si="19"/>
        <v>76</v>
      </c>
    </row>
    <row r="207" spans="1:4" x14ac:dyDescent="0.2">
      <c r="A207" s="5">
        <f t="shared" si="15"/>
        <v>0.51249999999999996</v>
      </c>
      <c r="B207">
        <f t="shared" si="16"/>
        <v>12</v>
      </c>
      <c r="C207" s="3">
        <f t="shared" si="18"/>
        <v>74.375</v>
      </c>
      <c r="D207">
        <f t="shared" si="19"/>
        <v>76</v>
      </c>
    </row>
    <row r="208" spans="1:4" x14ac:dyDescent="0.2">
      <c r="A208" s="5">
        <f t="shared" si="15"/>
        <v>0.51500000000000001</v>
      </c>
      <c r="B208">
        <f t="shared" si="16"/>
        <v>12</v>
      </c>
      <c r="C208" s="3">
        <f t="shared" si="18"/>
        <v>74.25</v>
      </c>
      <c r="D208">
        <f t="shared" si="19"/>
        <v>76</v>
      </c>
    </row>
    <row r="209" spans="1:4" x14ac:dyDescent="0.2">
      <c r="A209" s="5">
        <f t="shared" si="15"/>
        <v>0.51749999999999996</v>
      </c>
      <c r="B209">
        <f t="shared" si="16"/>
        <v>12</v>
      </c>
      <c r="C209" s="3">
        <f t="shared" si="18"/>
        <v>74.125</v>
      </c>
      <c r="D209">
        <f t="shared" si="19"/>
        <v>76</v>
      </c>
    </row>
    <row r="210" spans="1:4" x14ac:dyDescent="0.2">
      <c r="A210" s="5">
        <f t="shared" si="15"/>
        <v>0.52</v>
      </c>
      <c r="B210">
        <f t="shared" si="16"/>
        <v>13</v>
      </c>
      <c r="C210" s="3">
        <f t="shared" si="18"/>
        <v>74</v>
      </c>
      <c r="D210">
        <f t="shared" si="19"/>
        <v>74</v>
      </c>
    </row>
    <row r="211" spans="1:4" x14ac:dyDescent="0.2">
      <c r="A211" s="5">
        <f t="shared" si="15"/>
        <v>0.52249999999999996</v>
      </c>
      <c r="B211">
        <f t="shared" si="16"/>
        <v>13</v>
      </c>
      <c r="C211" s="3">
        <f t="shared" si="18"/>
        <v>73.875</v>
      </c>
      <c r="D211">
        <f t="shared" si="19"/>
        <v>74</v>
      </c>
    </row>
    <row r="212" spans="1:4" x14ac:dyDescent="0.2">
      <c r="A212" s="5">
        <f t="shared" si="15"/>
        <v>0.52500000000000002</v>
      </c>
      <c r="B212">
        <f t="shared" si="16"/>
        <v>13</v>
      </c>
      <c r="C212" s="3">
        <f t="shared" si="18"/>
        <v>73.75</v>
      </c>
      <c r="D212">
        <f t="shared" si="19"/>
        <v>74</v>
      </c>
    </row>
    <row r="213" spans="1:4" x14ac:dyDescent="0.2">
      <c r="A213" s="5">
        <f t="shared" si="15"/>
        <v>0.52749999999999997</v>
      </c>
      <c r="B213">
        <f t="shared" si="16"/>
        <v>13</v>
      </c>
      <c r="C213" s="3">
        <f t="shared" si="18"/>
        <v>73.625</v>
      </c>
      <c r="D213">
        <f t="shared" si="19"/>
        <v>74</v>
      </c>
    </row>
    <row r="214" spans="1:4" x14ac:dyDescent="0.2">
      <c r="A214" s="5">
        <f t="shared" si="15"/>
        <v>0.53</v>
      </c>
      <c r="B214">
        <f t="shared" si="16"/>
        <v>13</v>
      </c>
      <c r="C214" s="3">
        <f t="shared" si="18"/>
        <v>73.5</v>
      </c>
      <c r="D214">
        <f t="shared" si="19"/>
        <v>74</v>
      </c>
    </row>
    <row r="215" spans="1:4" x14ac:dyDescent="0.2">
      <c r="A215" s="5">
        <f t="shared" si="15"/>
        <v>0.53249999999999997</v>
      </c>
      <c r="B215">
        <f t="shared" si="16"/>
        <v>13</v>
      </c>
      <c r="C215" s="3">
        <f t="shared" si="18"/>
        <v>73.375</v>
      </c>
      <c r="D215">
        <f t="shared" si="19"/>
        <v>74</v>
      </c>
    </row>
    <row r="216" spans="1:4" x14ac:dyDescent="0.2">
      <c r="A216" s="5">
        <f t="shared" si="15"/>
        <v>0.53500000000000003</v>
      </c>
      <c r="B216">
        <f t="shared" si="16"/>
        <v>13</v>
      </c>
      <c r="C216" s="3">
        <f t="shared" si="18"/>
        <v>73.25</v>
      </c>
      <c r="D216">
        <f t="shared" si="19"/>
        <v>74</v>
      </c>
    </row>
    <row r="217" spans="1:4" x14ac:dyDescent="0.2">
      <c r="A217" s="5">
        <f t="shared" si="15"/>
        <v>0.53749999999999998</v>
      </c>
      <c r="B217">
        <f t="shared" si="16"/>
        <v>13</v>
      </c>
      <c r="C217" s="3">
        <f t="shared" si="18"/>
        <v>73.125</v>
      </c>
      <c r="D217">
        <f t="shared" si="19"/>
        <v>74</v>
      </c>
    </row>
    <row r="218" spans="1:4" x14ac:dyDescent="0.2">
      <c r="A218" s="5">
        <f t="shared" si="15"/>
        <v>0.54</v>
      </c>
      <c r="B218">
        <f t="shared" si="16"/>
        <v>13</v>
      </c>
      <c r="C218" s="3">
        <f t="shared" si="18"/>
        <v>73</v>
      </c>
      <c r="D218">
        <f t="shared" si="19"/>
        <v>74</v>
      </c>
    </row>
    <row r="219" spans="1:4" x14ac:dyDescent="0.2">
      <c r="A219" s="5">
        <f t="shared" si="15"/>
        <v>0.54249999999999998</v>
      </c>
      <c r="B219">
        <f t="shared" si="16"/>
        <v>13</v>
      </c>
      <c r="C219" s="3">
        <f t="shared" si="18"/>
        <v>72.875</v>
      </c>
      <c r="D219">
        <f t="shared" si="19"/>
        <v>74</v>
      </c>
    </row>
    <row r="220" spans="1:4" x14ac:dyDescent="0.2">
      <c r="A220" s="5">
        <f t="shared" si="15"/>
        <v>0.54500000000000004</v>
      </c>
      <c r="B220">
        <f t="shared" si="16"/>
        <v>13</v>
      </c>
      <c r="C220" s="3">
        <f t="shared" si="18"/>
        <v>72.75</v>
      </c>
      <c r="D220">
        <f t="shared" si="19"/>
        <v>74</v>
      </c>
    </row>
    <row r="221" spans="1:4" x14ac:dyDescent="0.2">
      <c r="A221" s="5">
        <f t="shared" si="15"/>
        <v>0.54749999999999999</v>
      </c>
      <c r="B221">
        <f t="shared" si="16"/>
        <v>13</v>
      </c>
      <c r="C221" s="3">
        <f t="shared" si="18"/>
        <v>72.625</v>
      </c>
      <c r="D221">
        <f t="shared" si="19"/>
        <v>74</v>
      </c>
    </row>
    <row r="222" spans="1:4" x14ac:dyDescent="0.2">
      <c r="A222" s="5">
        <f t="shared" si="15"/>
        <v>0.55000000000000004</v>
      </c>
      <c r="B222">
        <f t="shared" si="16"/>
        <v>13</v>
      </c>
      <c r="C222" s="3">
        <f t="shared" si="18"/>
        <v>72.5</v>
      </c>
      <c r="D222">
        <f t="shared" si="19"/>
        <v>74</v>
      </c>
    </row>
    <row r="223" spans="1:4" x14ac:dyDescent="0.2">
      <c r="A223" s="5">
        <f t="shared" si="15"/>
        <v>0.55249999999999999</v>
      </c>
      <c r="B223">
        <f t="shared" si="16"/>
        <v>13</v>
      </c>
      <c r="C223" s="3">
        <f t="shared" si="18"/>
        <v>72.375</v>
      </c>
      <c r="D223">
        <f t="shared" si="19"/>
        <v>74</v>
      </c>
    </row>
    <row r="224" spans="1:4" x14ac:dyDescent="0.2">
      <c r="A224" s="5">
        <f t="shared" si="15"/>
        <v>0.55500000000000005</v>
      </c>
      <c r="B224">
        <f t="shared" si="16"/>
        <v>13</v>
      </c>
      <c r="C224" s="3">
        <f t="shared" si="18"/>
        <v>72.25</v>
      </c>
      <c r="D224">
        <f t="shared" si="19"/>
        <v>74</v>
      </c>
    </row>
    <row r="225" spans="1:4" x14ac:dyDescent="0.2">
      <c r="A225" s="5">
        <f t="shared" si="15"/>
        <v>0.5575</v>
      </c>
      <c r="B225">
        <f t="shared" si="16"/>
        <v>13</v>
      </c>
      <c r="C225" s="3">
        <f t="shared" si="18"/>
        <v>72.125</v>
      </c>
      <c r="D225">
        <f t="shared" si="19"/>
        <v>74</v>
      </c>
    </row>
    <row r="226" spans="1:4" x14ac:dyDescent="0.2">
      <c r="A226" s="5">
        <f t="shared" si="15"/>
        <v>0.56000000000000005</v>
      </c>
      <c r="B226">
        <f t="shared" si="16"/>
        <v>14</v>
      </c>
      <c r="C226" s="3">
        <f t="shared" si="18"/>
        <v>72</v>
      </c>
      <c r="D226">
        <f t="shared" si="19"/>
        <v>72</v>
      </c>
    </row>
    <row r="227" spans="1:4" x14ac:dyDescent="0.2">
      <c r="A227" s="5">
        <f t="shared" si="15"/>
        <v>0.5625</v>
      </c>
      <c r="B227">
        <f t="shared" si="16"/>
        <v>14</v>
      </c>
      <c r="C227" s="3">
        <f t="shared" si="18"/>
        <v>71.875</v>
      </c>
      <c r="D227">
        <f t="shared" si="19"/>
        <v>72</v>
      </c>
    </row>
    <row r="228" spans="1:4" x14ac:dyDescent="0.2">
      <c r="A228" s="5">
        <f t="shared" si="15"/>
        <v>0.56499999999999995</v>
      </c>
      <c r="B228">
        <f t="shared" si="16"/>
        <v>14</v>
      </c>
      <c r="C228" s="3">
        <f t="shared" si="18"/>
        <v>71.75</v>
      </c>
      <c r="D228">
        <f t="shared" si="19"/>
        <v>72</v>
      </c>
    </row>
    <row r="229" spans="1:4" x14ac:dyDescent="0.2">
      <c r="A229" s="5">
        <f t="shared" si="15"/>
        <v>0.5675</v>
      </c>
      <c r="B229">
        <f t="shared" si="16"/>
        <v>14</v>
      </c>
      <c r="C229" s="3">
        <f t="shared" si="18"/>
        <v>71.625</v>
      </c>
      <c r="D229">
        <f t="shared" si="19"/>
        <v>72</v>
      </c>
    </row>
    <row r="230" spans="1:4" x14ac:dyDescent="0.2">
      <c r="A230" s="5">
        <f t="shared" si="15"/>
        <v>0.56999999999999995</v>
      </c>
      <c r="B230">
        <f t="shared" si="16"/>
        <v>14</v>
      </c>
      <c r="C230" s="3">
        <f t="shared" si="18"/>
        <v>71.5</v>
      </c>
      <c r="D230">
        <f t="shared" si="19"/>
        <v>72</v>
      </c>
    </row>
    <row r="231" spans="1:4" x14ac:dyDescent="0.2">
      <c r="A231" s="5">
        <f t="shared" si="15"/>
        <v>0.57250000000000001</v>
      </c>
      <c r="B231">
        <f t="shared" si="16"/>
        <v>14</v>
      </c>
      <c r="C231" s="3">
        <f t="shared" si="18"/>
        <v>71.375</v>
      </c>
      <c r="D231">
        <f t="shared" si="19"/>
        <v>72</v>
      </c>
    </row>
    <row r="232" spans="1:4" x14ac:dyDescent="0.2">
      <c r="A232" s="5">
        <f t="shared" si="15"/>
        <v>0.57499999999999996</v>
      </c>
      <c r="B232">
        <f t="shared" si="16"/>
        <v>14</v>
      </c>
      <c r="C232" s="3">
        <f t="shared" si="18"/>
        <v>71.25</v>
      </c>
      <c r="D232">
        <f t="shared" si="19"/>
        <v>72</v>
      </c>
    </row>
    <row r="233" spans="1:4" x14ac:dyDescent="0.2">
      <c r="A233" s="5">
        <f t="shared" si="15"/>
        <v>0.57750000000000001</v>
      </c>
      <c r="B233">
        <f t="shared" si="16"/>
        <v>14</v>
      </c>
      <c r="C233" s="3">
        <f t="shared" si="18"/>
        <v>71.125</v>
      </c>
      <c r="D233">
        <f t="shared" si="19"/>
        <v>72</v>
      </c>
    </row>
    <row r="234" spans="1:4" x14ac:dyDescent="0.2">
      <c r="A234" s="5">
        <f t="shared" si="15"/>
        <v>0.57999999999999996</v>
      </c>
      <c r="B234">
        <f t="shared" si="16"/>
        <v>14</v>
      </c>
      <c r="C234" s="3">
        <f t="shared" si="18"/>
        <v>71</v>
      </c>
      <c r="D234">
        <f t="shared" si="19"/>
        <v>72</v>
      </c>
    </row>
    <row r="235" spans="1:4" x14ac:dyDescent="0.2">
      <c r="A235" s="5">
        <f t="shared" si="15"/>
        <v>0.58250000000000002</v>
      </c>
      <c r="B235">
        <f t="shared" si="16"/>
        <v>14</v>
      </c>
      <c r="C235" s="3">
        <f t="shared" si="18"/>
        <v>70.875</v>
      </c>
      <c r="D235">
        <f t="shared" si="19"/>
        <v>72</v>
      </c>
    </row>
    <row r="236" spans="1:4" x14ac:dyDescent="0.2">
      <c r="A236" s="5">
        <f t="shared" si="15"/>
        <v>0.58499999999999996</v>
      </c>
      <c r="B236">
        <f t="shared" si="16"/>
        <v>14</v>
      </c>
      <c r="C236" s="3">
        <f t="shared" si="18"/>
        <v>70.75</v>
      </c>
      <c r="D236">
        <f t="shared" si="19"/>
        <v>72</v>
      </c>
    </row>
    <row r="237" spans="1:4" x14ac:dyDescent="0.2">
      <c r="A237" s="5">
        <f t="shared" si="15"/>
        <v>0.58750000000000002</v>
      </c>
      <c r="B237">
        <f t="shared" si="16"/>
        <v>14</v>
      </c>
      <c r="C237" s="3">
        <f t="shared" si="18"/>
        <v>70.625</v>
      </c>
      <c r="D237">
        <f t="shared" si="19"/>
        <v>72</v>
      </c>
    </row>
    <row r="238" spans="1:4" x14ac:dyDescent="0.2">
      <c r="A238" s="5">
        <f t="shared" si="15"/>
        <v>0.59</v>
      </c>
      <c r="B238">
        <f t="shared" si="16"/>
        <v>14</v>
      </c>
      <c r="C238" s="3">
        <f t="shared" si="18"/>
        <v>70.5</v>
      </c>
      <c r="D238">
        <f t="shared" si="19"/>
        <v>72</v>
      </c>
    </row>
    <row r="239" spans="1:4" x14ac:dyDescent="0.2">
      <c r="A239" s="5">
        <f t="shared" si="15"/>
        <v>0.59250000000000003</v>
      </c>
      <c r="B239">
        <f t="shared" si="16"/>
        <v>14</v>
      </c>
      <c r="C239" s="3">
        <f t="shared" si="18"/>
        <v>70.375</v>
      </c>
      <c r="D239">
        <f t="shared" si="19"/>
        <v>72</v>
      </c>
    </row>
    <row r="240" spans="1:4" x14ac:dyDescent="0.2">
      <c r="A240" s="5">
        <f t="shared" si="15"/>
        <v>0.59499999999999997</v>
      </c>
      <c r="B240">
        <f t="shared" si="16"/>
        <v>14</v>
      </c>
      <c r="C240" s="3">
        <f t="shared" si="18"/>
        <v>70.25</v>
      </c>
      <c r="D240">
        <f t="shared" si="19"/>
        <v>72</v>
      </c>
    </row>
    <row r="241" spans="1:4" x14ac:dyDescent="0.2">
      <c r="A241" s="5">
        <f t="shared" si="15"/>
        <v>0.59750000000000003</v>
      </c>
      <c r="B241">
        <f t="shared" si="16"/>
        <v>14</v>
      </c>
      <c r="C241" s="3">
        <f t="shared" si="18"/>
        <v>70.125</v>
      </c>
      <c r="D241">
        <f t="shared" si="19"/>
        <v>72</v>
      </c>
    </row>
    <row r="242" spans="1:4" x14ac:dyDescent="0.2">
      <c r="A242" s="5">
        <f t="shared" si="15"/>
        <v>0.6</v>
      </c>
      <c r="B242">
        <f t="shared" si="16"/>
        <v>15</v>
      </c>
      <c r="C242" s="3">
        <f t="shared" si="18"/>
        <v>70</v>
      </c>
      <c r="D242">
        <f t="shared" si="19"/>
        <v>70</v>
      </c>
    </row>
    <row r="243" spans="1:4" x14ac:dyDescent="0.2">
      <c r="A243" s="5">
        <f t="shared" si="15"/>
        <v>0.60250000000000004</v>
      </c>
      <c r="B243">
        <f t="shared" si="16"/>
        <v>15</v>
      </c>
      <c r="C243" s="3">
        <f t="shared" si="18"/>
        <v>69.875</v>
      </c>
      <c r="D243">
        <f t="shared" si="19"/>
        <v>70</v>
      </c>
    </row>
    <row r="244" spans="1:4" x14ac:dyDescent="0.2">
      <c r="A244" s="5">
        <f t="shared" si="15"/>
        <v>0.60499999999999998</v>
      </c>
      <c r="B244">
        <f t="shared" si="16"/>
        <v>15</v>
      </c>
      <c r="C244" s="3">
        <f t="shared" si="18"/>
        <v>69.75</v>
      </c>
      <c r="D244">
        <f t="shared" si="19"/>
        <v>70</v>
      </c>
    </row>
    <row r="245" spans="1:4" x14ac:dyDescent="0.2">
      <c r="A245" s="5">
        <f t="shared" si="15"/>
        <v>0.60750000000000004</v>
      </c>
      <c r="B245">
        <f t="shared" si="16"/>
        <v>15</v>
      </c>
      <c r="C245" s="3">
        <f t="shared" si="18"/>
        <v>69.625</v>
      </c>
      <c r="D245">
        <f t="shared" si="19"/>
        <v>70</v>
      </c>
    </row>
    <row r="246" spans="1:4" x14ac:dyDescent="0.2">
      <c r="A246" s="5">
        <f t="shared" si="15"/>
        <v>0.61</v>
      </c>
      <c r="B246">
        <f t="shared" si="16"/>
        <v>15</v>
      </c>
      <c r="C246" s="3">
        <f t="shared" si="18"/>
        <v>69.5</v>
      </c>
      <c r="D246">
        <f t="shared" si="19"/>
        <v>70</v>
      </c>
    </row>
    <row r="247" spans="1:4" x14ac:dyDescent="0.2">
      <c r="A247" s="5">
        <f t="shared" si="15"/>
        <v>0.61250000000000004</v>
      </c>
      <c r="B247">
        <f t="shared" si="16"/>
        <v>15</v>
      </c>
      <c r="C247" s="3">
        <f t="shared" si="18"/>
        <v>69.375</v>
      </c>
      <c r="D247">
        <f t="shared" si="19"/>
        <v>70</v>
      </c>
    </row>
    <row r="248" spans="1:4" x14ac:dyDescent="0.2">
      <c r="A248" s="5">
        <f t="shared" si="15"/>
        <v>0.61499999999999999</v>
      </c>
      <c r="B248">
        <f t="shared" si="16"/>
        <v>15</v>
      </c>
      <c r="C248" s="3">
        <f t="shared" si="18"/>
        <v>69.25</v>
      </c>
      <c r="D248">
        <f t="shared" si="19"/>
        <v>70</v>
      </c>
    </row>
    <row r="249" spans="1:4" x14ac:dyDescent="0.2">
      <c r="A249" s="5">
        <f t="shared" si="15"/>
        <v>0.61750000000000005</v>
      </c>
      <c r="B249">
        <f t="shared" si="16"/>
        <v>15</v>
      </c>
      <c r="C249" s="3">
        <f t="shared" si="18"/>
        <v>69.125</v>
      </c>
      <c r="D249">
        <f t="shared" si="19"/>
        <v>70</v>
      </c>
    </row>
    <row r="250" spans="1:4" x14ac:dyDescent="0.2">
      <c r="A250" s="5">
        <f t="shared" si="15"/>
        <v>0.62</v>
      </c>
      <c r="B250">
        <f t="shared" si="16"/>
        <v>15</v>
      </c>
      <c r="C250" s="3">
        <f t="shared" si="18"/>
        <v>69</v>
      </c>
      <c r="D250">
        <f t="shared" si="19"/>
        <v>70</v>
      </c>
    </row>
    <row r="251" spans="1:4" x14ac:dyDescent="0.2">
      <c r="A251" s="5">
        <f t="shared" si="15"/>
        <v>0.62250000000000005</v>
      </c>
      <c r="B251">
        <f t="shared" si="16"/>
        <v>15</v>
      </c>
      <c r="C251" s="3">
        <f t="shared" si="18"/>
        <v>68.875</v>
      </c>
      <c r="D251">
        <f t="shared" si="19"/>
        <v>70</v>
      </c>
    </row>
    <row r="252" spans="1:4" x14ac:dyDescent="0.2">
      <c r="A252" s="5">
        <f t="shared" si="15"/>
        <v>0.625</v>
      </c>
      <c r="B252">
        <f t="shared" si="16"/>
        <v>15</v>
      </c>
      <c r="C252" s="3">
        <f t="shared" si="18"/>
        <v>68.75</v>
      </c>
      <c r="D252">
        <f t="shared" si="19"/>
        <v>70</v>
      </c>
    </row>
    <row r="253" spans="1:4" x14ac:dyDescent="0.2">
      <c r="A253" s="5">
        <f t="shared" si="15"/>
        <v>0.62749999999999995</v>
      </c>
      <c r="B253">
        <f t="shared" si="16"/>
        <v>15</v>
      </c>
      <c r="C253" s="3">
        <f t="shared" si="18"/>
        <v>68.625</v>
      </c>
      <c r="D253">
        <f t="shared" si="19"/>
        <v>70</v>
      </c>
    </row>
    <row r="254" spans="1:4" x14ac:dyDescent="0.2">
      <c r="A254" s="5">
        <f t="shared" si="15"/>
        <v>0.63</v>
      </c>
      <c r="B254">
        <f t="shared" si="16"/>
        <v>15</v>
      </c>
      <c r="C254" s="3">
        <f t="shared" si="18"/>
        <v>68.5</v>
      </c>
      <c r="D254">
        <f t="shared" si="19"/>
        <v>70</v>
      </c>
    </row>
    <row r="255" spans="1:4" x14ac:dyDescent="0.2">
      <c r="A255" s="5">
        <f t="shared" si="15"/>
        <v>0.63249999999999995</v>
      </c>
      <c r="B255">
        <f t="shared" si="16"/>
        <v>15</v>
      </c>
      <c r="C255" s="3">
        <f t="shared" si="18"/>
        <v>68.375</v>
      </c>
      <c r="D255">
        <f t="shared" si="19"/>
        <v>70</v>
      </c>
    </row>
    <row r="256" spans="1:4" x14ac:dyDescent="0.2">
      <c r="A256" s="5">
        <f t="shared" si="15"/>
        <v>0.63500000000000001</v>
      </c>
      <c r="B256">
        <f t="shared" si="16"/>
        <v>15</v>
      </c>
      <c r="C256" s="3">
        <f t="shared" si="18"/>
        <v>68.25</v>
      </c>
      <c r="D256">
        <f t="shared" si="19"/>
        <v>70</v>
      </c>
    </row>
    <row r="257" spans="1:4" x14ac:dyDescent="0.2">
      <c r="A257" s="5">
        <f t="shared" si="15"/>
        <v>0.63749999999999996</v>
      </c>
      <c r="B257">
        <f t="shared" si="16"/>
        <v>15</v>
      </c>
      <c r="C257" s="3">
        <f t="shared" si="18"/>
        <v>68.125</v>
      </c>
      <c r="D257">
        <f t="shared" si="19"/>
        <v>70</v>
      </c>
    </row>
    <row r="258" spans="1:4" x14ac:dyDescent="0.2">
      <c r="A258" s="5">
        <f t="shared" si="15"/>
        <v>0.64</v>
      </c>
      <c r="B258">
        <f t="shared" si="16"/>
        <v>16</v>
      </c>
      <c r="C258" s="3">
        <f t="shared" si="18"/>
        <v>68</v>
      </c>
      <c r="D258">
        <f t="shared" si="19"/>
        <v>68</v>
      </c>
    </row>
    <row r="259" spans="1:4" x14ac:dyDescent="0.2">
      <c r="A259" s="5">
        <f t="shared" ref="A259:A322" si="20">(ROW()-2)/400</f>
        <v>0.64249999999999996</v>
      </c>
      <c r="B259">
        <f t="shared" ref="B259:B322" si="21">_xlfn.FLOOR.MATH(A259*25)</f>
        <v>16</v>
      </c>
      <c r="C259" s="3">
        <f t="shared" si="18"/>
        <v>67.875</v>
      </c>
      <c r="D259">
        <f t="shared" si="19"/>
        <v>68</v>
      </c>
    </row>
    <row r="260" spans="1:4" x14ac:dyDescent="0.2">
      <c r="A260" s="5">
        <f t="shared" si="20"/>
        <v>0.64500000000000002</v>
      </c>
      <c r="B260">
        <f t="shared" si="21"/>
        <v>16</v>
      </c>
      <c r="C260" s="3">
        <f t="shared" si="18"/>
        <v>67.75</v>
      </c>
      <c r="D260">
        <f t="shared" si="19"/>
        <v>68</v>
      </c>
    </row>
    <row r="261" spans="1:4" x14ac:dyDescent="0.2">
      <c r="A261" s="5">
        <f t="shared" si="20"/>
        <v>0.64749999999999996</v>
      </c>
      <c r="B261">
        <f t="shared" si="21"/>
        <v>16</v>
      </c>
      <c r="C261" s="3">
        <f t="shared" si="18"/>
        <v>67.625</v>
      </c>
      <c r="D261">
        <f t="shared" si="19"/>
        <v>68</v>
      </c>
    </row>
    <row r="262" spans="1:4" x14ac:dyDescent="0.2">
      <c r="A262" s="5">
        <f t="shared" si="20"/>
        <v>0.65</v>
      </c>
      <c r="B262">
        <f t="shared" si="21"/>
        <v>16</v>
      </c>
      <c r="C262" s="3">
        <f t="shared" si="18"/>
        <v>67.5</v>
      </c>
      <c r="D262">
        <f t="shared" si="19"/>
        <v>68</v>
      </c>
    </row>
    <row r="263" spans="1:4" x14ac:dyDescent="0.2">
      <c r="A263" s="5">
        <f t="shared" si="20"/>
        <v>0.65249999999999997</v>
      </c>
      <c r="B263">
        <f t="shared" si="21"/>
        <v>16</v>
      </c>
      <c r="C263" s="3">
        <f t="shared" si="18"/>
        <v>67.375</v>
      </c>
      <c r="D263">
        <f t="shared" si="19"/>
        <v>68</v>
      </c>
    </row>
    <row r="264" spans="1:4" x14ac:dyDescent="0.2">
      <c r="A264" s="5">
        <f t="shared" si="20"/>
        <v>0.65500000000000003</v>
      </c>
      <c r="B264">
        <f t="shared" si="21"/>
        <v>16</v>
      </c>
      <c r="C264" s="3">
        <f t="shared" si="18"/>
        <v>67.25</v>
      </c>
      <c r="D264">
        <f t="shared" si="19"/>
        <v>68</v>
      </c>
    </row>
    <row r="265" spans="1:4" x14ac:dyDescent="0.2">
      <c r="A265" s="5">
        <f t="shared" si="20"/>
        <v>0.65749999999999997</v>
      </c>
      <c r="B265">
        <f t="shared" si="21"/>
        <v>16</v>
      </c>
      <c r="C265" s="3">
        <f t="shared" si="18"/>
        <v>67.125</v>
      </c>
      <c r="D265">
        <f t="shared" si="19"/>
        <v>68</v>
      </c>
    </row>
    <row r="266" spans="1:4" x14ac:dyDescent="0.2">
      <c r="A266" s="5">
        <f t="shared" si="20"/>
        <v>0.66</v>
      </c>
      <c r="B266">
        <f t="shared" si="21"/>
        <v>16</v>
      </c>
      <c r="C266" s="3">
        <f t="shared" si="18"/>
        <v>67</v>
      </c>
      <c r="D266">
        <f t="shared" si="19"/>
        <v>68</v>
      </c>
    </row>
    <row r="267" spans="1:4" x14ac:dyDescent="0.2">
      <c r="A267" s="5">
        <f t="shared" si="20"/>
        <v>0.66249999999999998</v>
      </c>
      <c r="B267">
        <f t="shared" si="21"/>
        <v>16</v>
      </c>
      <c r="C267" s="3">
        <f t="shared" ref="C267:C330" si="22">100-(A267/2*100)</f>
        <v>66.875</v>
      </c>
      <c r="D267">
        <f t="shared" ref="D267:D330" si="23">100-B267*2</f>
        <v>68</v>
      </c>
    </row>
    <row r="268" spans="1:4" x14ac:dyDescent="0.2">
      <c r="A268" s="5">
        <f t="shared" si="20"/>
        <v>0.66500000000000004</v>
      </c>
      <c r="B268">
        <f t="shared" si="21"/>
        <v>16</v>
      </c>
      <c r="C268" s="3">
        <f t="shared" si="22"/>
        <v>66.75</v>
      </c>
      <c r="D268">
        <f t="shared" si="23"/>
        <v>68</v>
      </c>
    </row>
    <row r="269" spans="1:4" x14ac:dyDescent="0.2">
      <c r="A269" s="5">
        <f t="shared" si="20"/>
        <v>0.66749999999999998</v>
      </c>
      <c r="B269">
        <f t="shared" si="21"/>
        <v>16</v>
      </c>
      <c r="C269" s="3">
        <f t="shared" si="22"/>
        <v>66.625</v>
      </c>
      <c r="D269">
        <f t="shared" si="23"/>
        <v>68</v>
      </c>
    </row>
    <row r="270" spans="1:4" x14ac:dyDescent="0.2">
      <c r="A270" s="5">
        <f t="shared" si="20"/>
        <v>0.67</v>
      </c>
      <c r="B270">
        <f t="shared" si="21"/>
        <v>16</v>
      </c>
      <c r="C270" s="3">
        <f t="shared" si="22"/>
        <v>66.5</v>
      </c>
      <c r="D270">
        <f t="shared" si="23"/>
        <v>68</v>
      </c>
    </row>
    <row r="271" spans="1:4" x14ac:dyDescent="0.2">
      <c r="A271" s="5">
        <f t="shared" si="20"/>
        <v>0.67249999999999999</v>
      </c>
      <c r="B271">
        <f t="shared" si="21"/>
        <v>16</v>
      </c>
      <c r="C271" s="3">
        <f t="shared" si="22"/>
        <v>66.375</v>
      </c>
      <c r="D271">
        <f t="shared" si="23"/>
        <v>68</v>
      </c>
    </row>
    <row r="272" spans="1:4" x14ac:dyDescent="0.2">
      <c r="A272" s="5">
        <f t="shared" si="20"/>
        <v>0.67500000000000004</v>
      </c>
      <c r="B272">
        <f t="shared" si="21"/>
        <v>16</v>
      </c>
      <c r="C272" s="3">
        <f t="shared" si="22"/>
        <v>66.25</v>
      </c>
      <c r="D272">
        <f t="shared" si="23"/>
        <v>68</v>
      </c>
    </row>
    <row r="273" spans="1:4" x14ac:dyDescent="0.2">
      <c r="A273" s="5">
        <f t="shared" si="20"/>
        <v>0.67749999999999999</v>
      </c>
      <c r="B273">
        <f t="shared" si="21"/>
        <v>16</v>
      </c>
      <c r="C273" s="3">
        <f t="shared" si="22"/>
        <v>66.125</v>
      </c>
      <c r="D273">
        <f t="shared" si="23"/>
        <v>68</v>
      </c>
    </row>
    <row r="274" spans="1:4" x14ac:dyDescent="0.2">
      <c r="A274" s="5">
        <f t="shared" si="20"/>
        <v>0.68</v>
      </c>
      <c r="B274">
        <f t="shared" si="21"/>
        <v>17</v>
      </c>
      <c r="C274" s="3">
        <f t="shared" si="22"/>
        <v>66</v>
      </c>
      <c r="D274">
        <f t="shared" si="23"/>
        <v>66</v>
      </c>
    </row>
    <row r="275" spans="1:4" x14ac:dyDescent="0.2">
      <c r="A275" s="5">
        <f t="shared" si="20"/>
        <v>0.6825</v>
      </c>
      <c r="B275">
        <f t="shared" si="21"/>
        <v>17</v>
      </c>
      <c r="C275" s="3">
        <f t="shared" si="22"/>
        <v>65.875</v>
      </c>
      <c r="D275">
        <f t="shared" si="23"/>
        <v>66</v>
      </c>
    </row>
    <row r="276" spans="1:4" x14ac:dyDescent="0.2">
      <c r="A276" s="5">
        <f t="shared" si="20"/>
        <v>0.68500000000000005</v>
      </c>
      <c r="B276">
        <f t="shared" si="21"/>
        <v>17</v>
      </c>
      <c r="C276" s="3">
        <f t="shared" si="22"/>
        <v>65.75</v>
      </c>
      <c r="D276">
        <f t="shared" si="23"/>
        <v>66</v>
      </c>
    </row>
    <row r="277" spans="1:4" x14ac:dyDescent="0.2">
      <c r="A277" s="5">
        <f t="shared" si="20"/>
        <v>0.6875</v>
      </c>
      <c r="B277">
        <f t="shared" si="21"/>
        <v>17</v>
      </c>
      <c r="C277" s="3">
        <f t="shared" si="22"/>
        <v>65.625</v>
      </c>
      <c r="D277">
        <f t="shared" si="23"/>
        <v>66</v>
      </c>
    </row>
    <row r="278" spans="1:4" x14ac:dyDescent="0.2">
      <c r="A278" s="5">
        <f t="shared" si="20"/>
        <v>0.69</v>
      </c>
      <c r="B278">
        <f t="shared" si="21"/>
        <v>17</v>
      </c>
      <c r="C278" s="3">
        <f t="shared" si="22"/>
        <v>65.5</v>
      </c>
      <c r="D278">
        <f t="shared" si="23"/>
        <v>66</v>
      </c>
    </row>
    <row r="279" spans="1:4" x14ac:dyDescent="0.2">
      <c r="A279" s="5">
        <f t="shared" si="20"/>
        <v>0.6925</v>
      </c>
      <c r="B279">
        <f t="shared" si="21"/>
        <v>17</v>
      </c>
      <c r="C279" s="3">
        <f t="shared" si="22"/>
        <v>65.375</v>
      </c>
      <c r="D279">
        <f t="shared" si="23"/>
        <v>66</v>
      </c>
    </row>
    <row r="280" spans="1:4" x14ac:dyDescent="0.2">
      <c r="A280" s="5">
        <f t="shared" si="20"/>
        <v>0.69499999999999995</v>
      </c>
      <c r="B280">
        <f t="shared" si="21"/>
        <v>17</v>
      </c>
      <c r="C280" s="3">
        <f t="shared" si="22"/>
        <v>65.25</v>
      </c>
      <c r="D280">
        <f t="shared" si="23"/>
        <v>66</v>
      </c>
    </row>
    <row r="281" spans="1:4" x14ac:dyDescent="0.2">
      <c r="A281" s="5">
        <f t="shared" si="20"/>
        <v>0.69750000000000001</v>
      </c>
      <c r="B281">
        <f t="shared" si="21"/>
        <v>17</v>
      </c>
      <c r="C281" s="3">
        <f t="shared" si="22"/>
        <v>65.125</v>
      </c>
      <c r="D281">
        <f t="shared" si="23"/>
        <v>66</v>
      </c>
    </row>
    <row r="282" spans="1:4" x14ac:dyDescent="0.2">
      <c r="A282" s="5">
        <f t="shared" si="20"/>
        <v>0.7</v>
      </c>
      <c r="B282">
        <f t="shared" si="21"/>
        <v>17</v>
      </c>
      <c r="C282" s="3">
        <f t="shared" si="22"/>
        <v>65</v>
      </c>
      <c r="D282">
        <f t="shared" si="23"/>
        <v>66</v>
      </c>
    </row>
    <row r="283" spans="1:4" x14ac:dyDescent="0.2">
      <c r="A283" s="5">
        <f t="shared" si="20"/>
        <v>0.70250000000000001</v>
      </c>
      <c r="B283">
        <f t="shared" si="21"/>
        <v>17</v>
      </c>
      <c r="C283" s="3">
        <f t="shared" si="22"/>
        <v>64.875</v>
      </c>
      <c r="D283">
        <f t="shared" si="23"/>
        <v>66</v>
      </c>
    </row>
    <row r="284" spans="1:4" x14ac:dyDescent="0.2">
      <c r="A284" s="5">
        <f t="shared" si="20"/>
        <v>0.70499999999999996</v>
      </c>
      <c r="B284">
        <f t="shared" si="21"/>
        <v>17</v>
      </c>
      <c r="C284" s="3">
        <f t="shared" si="22"/>
        <v>64.75</v>
      </c>
      <c r="D284">
        <f t="shared" si="23"/>
        <v>66</v>
      </c>
    </row>
    <row r="285" spans="1:4" x14ac:dyDescent="0.2">
      <c r="A285" s="5">
        <f t="shared" si="20"/>
        <v>0.70750000000000002</v>
      </c>
      <c r="B285">
        <f t="shared" si="21"/>
        <v>17</v>
      </c>
      <c r="C285" s="3">
        <f t="shared" si="22"/>
        <v>64.625</v>
      </c>
      <c r="D285">
        <f t="shared" si="23"/>
        <v>66</v>
      </c>
    </row>
    <row r="286" spans="1:4" x14ac:dyDescent="0.2">
      <c r="A286" s="5">
        <f t="shared" si="20"/>
        <v>0.71</v>
      </c>
      <c r="B286">
        <f t="shared" si="21"/>
        <v>17</v>
      </c>
      <c r="C286" s="3">
        <f t="shared" si="22"/>
        <v>64.5</v>
      </c>
      <c r="D286">
        <f t="shared" si="23"/>
        <v>66</v>
      </c>
    </row>
    <row r="287" spans="1:4" x14ac:dyDescent="0.2">
      <c r="A287" s="5">
        <f t="shared" si="20"/>
        <v>0.71250000000000002</v>
      </c>
      <c r="B287">
        <f t="shared" si="21"/>
        <v>17</v>
      </c>
      <c r="C287" s="3">
        <f t="shared" si="22"/>
        <v>64.375</v>
      </c>
      <c r="D287">
        <f t="shared" si="23"/>
        <v>66</v>
      </c>
    </row>
    <row r="288" spans="1:4" x14ac:dyDescent="0.2">
      <c r="A288" s="5">
        <f t="shared" si="20"/>
        <v>0.71499999999999997</v>
      </c>
      <c r="B288">
        <f t="shared" si="21"/>
        <v>17</v>
      </c>
      <c r="C288" s="3">
        <f t="shared" si="22"/>
        <v>64.25</v>
      </c>
      <c r="D288">
        <f t="shared" si="23"/>
        <v>66</v>
      </c>
    </row>
    <row r="289" spans="1:4" x14ac:dyDescent="0.2">
      <c r="A289" s="5">
        <f t="shared" si="20"/>
        <v>0.71750000000000003</v>
      </c>
      <c r="B289">
        <f t="shared" si="21"/>
        <v>17</v>
      </c>
      <c r="C289" s="3">
        <f t="shared" si="22"/>
        <v>64.125</v>
      </c>
      <c r="D289">
        <f t="shared" si="23"/>
        <v>66</v>
      </c>
    </row>
    <row r="290" spans="1:4" x14ac:dyDescent="0.2">
      <c r="A290" s="5">
        <f t="shared" si="20"/>
        <v>0.72</v>
      </c>
      <c r="B290">
        <f t="shared" si="21"/>
        <v>18</v>
      </c>
      <c r="C290" s="3">
        <f t="shared" si="22"/>
        <v>64</v>
      </c>
      <c r="D290">
        <f t="shared" si="23"/>
        <v>64</v>
      </c>
    </row>
    <row r="291" spans="1:4" x14ac:dyDescent="0.2">
      <c r="A291" s="5">
        <f t="shared" si="20"/>
        <v>0.72250000000000003</v>
      </c>
      <c r="B291">
        <f t="shared" si="21"/>
        <v>18</v>
      </c>
      <c r="C291" s="3">
        <f t="shared" si="22"/>
        <v>63.875</v>
      </c>
      <c r="D291">
        <f t="shared" si="23"/>
        <v>64</v>
      </c>
    </row>
    <row r="292" spans="1:4" x14ac:dyDescent="0.2">
      <c r="A292" s="5">
        <f t="shared" si="20"/>
        <v>0.72499999999999998</v>
      </c>
      <c r="B292">
        <f t="shared" si="21"/>
        <v>18</v>
      </c>
      <c r="C292" s="3">
        <f t="shared" si="22"/>
        <v>63.75</v>
      </c>
      <c r="D292">
        <f t="shared" si="23"/>
        <v>64</v>
      </c>
    </row>
    <row r="293" spans="1:4" x14ac:dyDescent="0.2">
      <c r="A293" s="5">
        <f t="shared" si="20"/>
        <v>0.72750000000000004</v>
      </c>
      <c r="B293">
        <f t="shared" si="21"/>
        <v>18</v>
      </c>
      <c r="C293" s="3">
        <f t="shared" si="22"/>
        <v>63.625</v>
      </c>
      <c r="D293">
        <f t="shared" si="23"/>
        <v>64</v>
      </c>
    </row>
    <row r="294" spans="1:4" x14ac:dyDescent="0.2">
      <c r="A294" s="5">
        <f t="shared" si="20"/>
        <v>0.73</v>
      </c>
      <c r="B294">
        <f t="shared" si="21"/>
        <v>18</v>
      </c>
      <c r="C294" s="3">
        <f t="shared" si="22"/>
        <v>63.5</v>
      </c>
      <c r="D294">
        <f t="shared" si="23"/>
        <v>64</v>
      </c>
    </row>
    <row r="295" spans="1:4" x14ac:dyDescent="0.2">
      <c r="A295" s="5">
        <f t="shared" si="20"/>
        <v>0.73250000000000004</v>
      </c>
      <c r="B295">
        <f t="shared" si="21"/>
        <v>18</v>
      </c>
      <c r="C295" s="3">
        <f t="shared" si="22"/>
        <v>63.375</v>
      </c>
      <c r="D295">
        <f t="shared" si="23"/>
        <v>64</v>
      </c>
    </row>
    <row r="296" spans="1:4" x14ac:dyDescent="0.2">
      <c r="A296" s="5">
        <f t="shared" si="20"/>
        <v>0.73499999999999999</v>
      </c>
      <c r="B296">
        <f t="shared" si="21"/>
        <v>18</v>
      </c>
      <c r="C296" s="3">
        <f t="shared" si="22"/>
        <v>63.25</v>
      </c>
      <c r="D296">
        <f t="shared" si="23"/>
        <v>64</v>
      </c>
    </row>
    <row r="297" spans="1:4" x14ac:dyDescent="0.2">
      <c r="A297" s="5">
        <f t="shared" si="20"/>
        <v>0.73750000000000004</v>
      </c>
      <c r="B297">
        <f t="shared" si="21"/>
        <v>18</v>
      </c>
      <c r="C297" s="3">
        <f t="shared" si="22"/>
        <v>63.125</v>
      </c>
      <c r="D297">
        <f t="shared" si="23"/>
        <v>64</v>
      </c>
    </row>
    <row r="298" spans="1:4" x14ac:dyDescent="0.2">
      <c r="A298" s="5">
        <f t="shared" si="20"/>
        <v>0.74</v>
      </c>
      <c r="B298">
        <f t="shared" si="21"/>
        <v>18</v>
      </c>
      <c r="C298" s="3">
        <f t="shared" si="22"/>
        <v>63</v>
      </c>
      <c r="D298">
        <f t="shared" si="23"/>
        <v>64</v>
      </c>
    </row>
    <row r="299" spans="1:4" x14ac:dyDescent="0.2">
      <c r="A299" s="5">
        <f t="shared" si="20"/>
        <v>0.74250000000000005</v>
      </c>
      <c r="B299">
        <f t="shared" si="21"/>
        <v>18</v>
      </c>
      <c r="C299" s="3">
        <f t="shared" si="22"/>
        <v>62.875</v>
      </c>
      <c r="D299">
        <f t="shared" si="23"/>
        <v>64</v>
      </c>
    </row>
    <row r="300" spans="1:4" x14ac:dyDescent="0.2">
      <c r="A300" s="5">
        <f t="shared" si="20"/>
        <v>0.745</v>
      </c>
      <c r="B300">
        <f t="shared" si="21"/>
        <v>18</v>
      </c>
      <c r="C300" s="3">
        <f t="shared" si="22"/>
        <v>62.75</v>
      </c>
      <c r="D300">
        <f t="shared" si="23"/>
        <v>64</v>
      </c>
    </row>
    <row r="301" spans="1:4" x14ac:dyDescent="0.2">
      <c r="A301" s="5">
        <f t="shared" si="20"/>
        <v>0.74750000000000005</v>
      </c>
      <c r="B301">
        <f t="shared" si="21"/>
        <v>18</v>
      </c>
      <c r="C301" s="3">
        <f t="shared" si="22"/>
        <v>62.625</v>
      </c>
      <c r="D301">
        <f t="shared" si="23"/>
        <v>64</v>
      </c>
    </row>
    <row r="302" spans="1:4" x14ac:dyDescent="0.2">
      <c r="A302" s="5">
        <f t="shared" si="20"/>
        <v>0.75</v>
      </c>
      <c r="B302">
        <f t="shared" si="21"/>
        <v>18</v>
      </c>
      <c r="C302" s="3">
        <f t="shared" si="22"/>
        <v>62.5</v>
      </c>
      <c r="D302">
        <f t="shared" si="23"/>
        <v>64</v>
      </c>
    </row>
    <row r="303" spans="1:4" x14ac:dyDescent="0.2">
      <c r="A303" s="5">
        <f t="shared" si="20"/>
        <v>0.75249999999999995</v>
      </c>
      <c r="B303">
        <f t="shared" si="21"/>
        <v>18</v>
      </c>
      <c r="C303" s="3">
        <f t="shared" si="22"/>
        <v>62.375</v>
      </c>
      <c r="D303">
        <f t="shared" si="23"/>
        <v>64</v>
      </c>
    </row>
    <row r="304" spans="1:4" x14ac:dyDescent="0.2">
      <c r="A304" s="5">
        <f t="shared" si="20"/>
        <v>0.755</v>
      </c>
      <c r="B304">
        <f t="shared" si="21"/>
        <v>18</v>
      </c>
      <c r="C304" s="3">
        <f t="shared" si="22"/>
        <v>62.25</v>
      </c>
      <c r="D304">
        <f t="shared" si="23"/>
        <v>64</v>
      </c>
    </row>
    <row r="305" spans="1:4" x14ac:dyDescent="0.2">
      <c r="A305" s="5">
        <f t="shared" si="20"/>
        <v>0.75749999999999995</v>
      </c>
      <c r="B305">
        <f t="shared" si="21"/>
        <v>18</v>
      </c>
      <c r="C305" s="3">
        <f t="shared" si="22"/>
        <v>62.125</v>
      </c>
      <c r="D305">
        <f t="shared" si="23"/>
        <v>64</v>
      </c>
    </row>
    <row r="306" spans="1:4" x14ac:dyDescent="0.2">
      <c r="A306" s="5">
        <f t="shared" si="20"/>
        <v>0.76</v>
      </c>
      <c r="B306">
        <f t="shared" si="21"/>
        <v>19</v>
      </c>
      <c r="C306" s="3">
        <f t="shared" si="22"/>
        <v>62</v>
      </c>
      <c r="D306">
        <f t="shared" si="23"/>
        <v>62</v>
      </c>
    </row>
    <row r="307" spans="1:4" x14ac:dyDescent="0.2">
      <c r="A307" s="5">
        <f t="shared" si="20"/>
        <v>0.76249999999999996</v>
      </c>
      <c r="B307">
        <f t="shared" si="21"/>
        <v>19</v>
      </c>
      <c r="C307" s="3">
        <f t="shared" si="22"/>
        <v>61.875</v>
      </c>
      <c r="D307">
        <f t="shared" si="23"/>
        <v>62</v>
      </c>
    </row>
    <row r="308" spans="1:4" x14ac:dyDescent="0.2">
      <c r="A308" s="5">
        <f t="shared" si="20"/>
        <v>0.76500000000000001</v>
      </c>
      <c r="B308">
        <f t="shared" si="21"/>
        <v>19</v>
      </c>
      <c r="C308" s="3">
        <f t="shared" si="22"/>
        <v>61.75</v>
      </c>
      <c r="D308">
        <f t="shared" si="23"/>
        <v>62</v>
      </c>
    </row>
    <row r="309" spans="1:4" x14ac:dyDescent="0.2">
      <c r="A309" s="5">
        <f t="shared" si="20"/>
        <v>0.76749999999999996</v>
      </c>
      <c r="B309">
        <f t="shared" si="21"/>
        <v>19</v>
      </c>
      <c r="C309" s="3">
        <f t="shared" si="22"/>
        <v>61.625</v>
      </c>
      <c r="D309">
        <f t="shared" si="23"/>
        <v>62</v>
      </c>
    </row>
    <row r="310" spans="1:4" x14ac:dyDescent="0.2">
      <c r="A310" s="5">
        <f t="shared" si="20"/>
        <v>0.77</v>
      </c>
      <c r="B310">
        <f t="shared" si="21"/>
        <v>19</v>
      </c>
      <c r="C310" s="3">
        <f t="shared" si="22"/>
        <v>61.5</v>
      </c>
      <c r="D310">
        <f t="shared" si="23"/>
        <v>62</v>
      </c>
    </row>
    <row r="311" spans="1:4" x14ac:dyDescent="0.2">
      <c r="A311" s="5">
        <f t="shared" si="20"/>
        <v>0.77249999999999996</v>
      </c>
      <c r="B311">
        <f t="shared" si="21"/>
        <v>19</v>
      </c>
      <c r="C311" s="3">
        <f t="shared" si="22"/>
        <v>61.375</v>
      </c>
      <c r="D311">
        <f t="shared" si="23"/>
        <v>62</v>
      </c>
    </row>
    <row r="312" spans="1:4" x14ac:dyDescent="0.2">
      <c r="A312" s="5">
        <f t="shared" si="20"/>
        <v>0.77500000000000002</v>
      </c>
      <c r="B312">
        <f t="shared" si="21"/>
        <v>19</v>
      </c>
      <c r="C312" s="3">
        <f t="shared" si="22"/>
        <v>61.25</v>
      </c>
      <c r="D312">
        <f t="shared" si="23"/>
        <v>62</v>
      </c>
    </row>
    <row r="313" spans="1:4" x14ac:dyDescent="0.2">
      <c r="A313" s="5">
        <f t="shared" si="20"/>
        <v>0.77749999999999997</v>
      </c>
      <c r="B313">
        <f t="shared" si="21"/>
        <v>19</v>
      </c>
      <c r="C313" s="3">
        <f t="shared" si="22"/>
        <v>61.125</v>
      </c>
      <c r="D313">
        <f t="shared" si="23"/>
        <v>62</v>
      </c>
    </row>
    <row r="314" spans="1:4" x14ac:dyDescent="0.2">
      <c r="A314" s="5">
        <f t="shared" si="20"/>
        <v>0.78</v>
      </c>
      <c r="B314">
        <f t="shared" si="21"/>
        <v>19</v>
      </c>
      <c r="C314" s="3">
        <f t="shared" si="22"/>
        <v>61</v>
      </c>
      <c r="D314">
        <f t="shared" si="23"/>
        <v>62</v>
      </c>
    </row>
    <row r="315" spans="1:4" x14ac:dyDescent="0.2">
      <c r="A315" s="5">
        <f t="shared" si="20"/>
        <v>0.78249999999999997</v>
      </c>
      <c r="B315">
        <f t="shared" si="21"/>
        <v>19</v>
      </c>
      <c r="C315" s="3">
        <f t="shared" si="22"/>
        <v>60.875</v>
      </c>
      <c r="D315">
        <f t="shared" si="23"/>
        <v>62</v>
      </c>
    </row>
    <row r="316" spans="1:4" x14ac:dyDescent="0.2">
      <c r="A316" s="5">
        <f t="shared" si="20"/>
        <v>0.78500000000000003</v>
      </c>
      <c r="B316">
        <f t="shared" si="21"/>
        <v>19</v>
      </c>
      <c r="C316" s="3">
        <f t="shared" si="22"/>
        <v>60.75</v>
      </c>
      <c r="D316">
        <f t="shared" si="23"/>
        <v>62</v>
      </c>
    </row>
    <row r="317" spans="1:4" x14ac:dyDescent="0.2">
      <c r="A317" s="5">
        <f t="shared" si="20"/>
        <v>0.78749999999999998</v>
      </c>
      <c r="B317">
        <f t="shared" si="21"/>
        <v>19</v>
      </c>
      <c r="C317" s="3">
        <f t="shared" si="22"/>
        <v>60.625</v>
      </c>
      <c r="D317">
        <f t="shared" si="23"/>
        <v>62</v>
      </c>
    </row>
    <row r="318" spans="1:4" x14ac:dyDescent="0.2">
      <c r="A318" s="5">
        <f t="shared" si="20"/>
        <v>0.79</v>
      </c>
      <c r="B318">
        <f t="shared" si="21"/>
        <v>19</v>
      </c>
      <c r="C318" s="3">
        <f t="shared" si="22"/>
        <v>60.5</v>
      </c>
      <c r="D318">
        <f t="shared" si="23"/>
        <v>62</v>
      </c>
    </row>
    <row r="319" spans="1:4" x14ac:dyDescent="0.2">
      <c r="A319" s="5">
        <f t="shared" si="20"/>
        <v>0.79249999999999998</v>
      </c>
      <c r="B319">
        <f t="shared" si="21"/>
        <v>19</v>
      </c>
      <c r="C319" s="3">
        <f t="shared" si="22"/>
        <v>60.375</v>
      </c>
      <c r="D319">
        <f t="shared" si="23"/>
        <v>62</v>
      </c>
    </row>
    <row r="320" spans="1:4" x14ac:dyDescent="0.2">
      <c r="A320" s="5">
        <f t="shared" si="20"/>
        <v>0.79500000000000004</v>
      </c>
      <c r="B320">
        <f t="shared" si="21"/>
        <v>19</v>
      </c>
      <c r="C320" s="3">
        <f t="shared" si="22"/>
        <v>60.25</v>
      </c>
      <c r="D320">
        <f t="shared" si="23"/>
        <v>62</v>
      </c>
    </row>
    <row r="321" spans="1:4" x14ac:dyDescent="0.2">
      <c r="A321" s="5">
        <f t="shared" si="20"/>
        <v>0.79749999999999999</v>
      </c>
      <c r="B321">
        <f t="shared" si="21"/>
        <v>19</v>
      </c>
      <c r="C321" s="3">
        <f t="shared" si="22"/>
        <v>60.125</v>
      </c>
      <c r="D321">
        <f t="shared" si="23"/>
        <v>62</v>
      </c>
    </row>
    <row r="322" spans="1:4" x14ac:dyDescent="0.2">
      <c r="A322" s="5">
        <f t="shared" si="20"/>
        <v>0.8</v>
      </c>
      <c r="B322">
        <f t="shared" si="21"/>
        <v>20</v>
      </c>
      <c r="C322" s="3">
        <f t="shared" si="22"/>
        <v>60</v>
      </c>
      <c r="D322">
        <f t="shared" si="23"/>
        <v>60</v>
      </c>
    </row>
    <row r="323" spans="1:4" x14ac:dyDescent="0.2">
      <c r="A323" s="5">
        <f t="shared" ref="A323:A386" si="24">(ROW()-2)/400</f>
        <v>0.80249999999999999</v>
      </c>
      <c r="B323">
        <f t="shared" ref="B323:B386" si="25">_xlfn.FLOOR.MATH(A323*25)</f>
        <v>20</v>
      </c>
      <c r="C323" s="3">
        <f t="shared" si="22"/>
        <v>59.875</v>
      </c>
      <c r="D323">
        <f t="shared" si="23"/>
        <v>60</v>
      </c>
    </row>
    <row r="324" spans="1:4" x14ac:dyDescent="0.2">
      <c r="A324" s="5">
        <f t="shared" si="24"/>
        <v>0.80500000000000005</v>
      </c>
      <c r="B324">
        <f t="shared" si="25"/>
        <v>20</v>
      </c>
      <c r="C324" s="3">
        <f t="shared" si="22"/>
        <v>59.75</v>
      </c>
      <c r="D324">
        <f t="shared" si="23"/>
        <v>60</v>
      </c>
    </row>
    <row r="325" spans="1:4" x14ac:dyDescent="0.2">
      <c r="A325" s="5">
        <f t="shared" si="24"/>
        <v>0.8075</v>
      </c>
      <c r="B325">
        <f t="shared" si="25"/>
        <v>20</v>
      </c>
      <c r="C325" s="3">
        <f t="shared" si="22"/>
        <v>59.625</v>
      </c>
      <c r="D325">
        <f t="shared" si="23"/>
        <v>60</v>
      </c>
    </row>
    <row r="326" spans="1:4" x14ac:dyDescent="0.2">
      <c r="A326" s="5">
        <f t="shared" si="24"/>
        <v>0.81</v>
      </c>
      <c r="B326">
        <f t="shared" si="25"/>
        <v>20</v>
      </c>
      <c r="C326" s="3">
        <f t="shared" si="22"/>
        <v>59.5</v>
      </c>
      <c r="D326">
        <f t="shared" si="23"/>
        <v>60</v>
      </c>
    </row>
    <row r="327" spans="1:4" x14ac:dyDescent="0.2">
      <c r="A327" s="5">
        <f t="shared" si="24"/>
        <v>0.8125</v>
      </c>
      <c r="B327">
        <f t="shared" si="25"/>
        <v>20</v>
      </c>
      <c r="C327" s="3">
        <f t="shared" si="22"/>
        <v>59.375</v>
      </c>
      <c r="D327">
        <f t="shared" si="23"/>
        <v>60</v>
      </c>
    </row>
    <row r="328" spans="1:4" x14ac:dyDescent="0.2">
      <c r="A328" s="5">
        <f t="shared" si="24"/>
        <v>0.81499999999999995</v>
      </c>
      <c r="B328">
        <f t="shared" si="25"/>
        <v>20</v>
      </c>
      <c r="C328" s="3">
        <f t="shared" si="22"/>
        <v>59.25</v>
      </c>
      <c r="D328">
        <f t="shared" si="23"/>
        <v>60</v>
      </c>
    </row>
    <row r="329" spans="1:4" x14ac:dyDescent="0.2">
      <c r="A329" s="5">
        <f t="shared" si="24"/>
        <v>0.8175</v>
      </c>
      <c r="B329">
        <f t="shared" si="25"/>
        <v>20</v>
      </c>
      <c r="C329" s="3">
        <f t="shared" si="22"/>
        <v>59.125</v>
      </c>
      <c r="D329">
        <f t="shared" si="23"/>
        <v>60</v>
      </c>
    </row>
    <row r="330" spans="1:4" x14ac:dyDescent="0.2">
      <c r="A330" s="5">
        <f t="shared" si="24"/>
        <v>0.82</v>
      </c>
      <c r="B330">
        <f t="shared" si="25"/>
        <v>20</v>
      </c>
      <c r="C330" s="3">
        <f t="shared" si="22"/>
        <v>59</v>
      </c>
      <c r="D330">
        <f t="shared" si="23"/>
        <v>60</v>
      </c>
    </row>
    <row r="331" spans="1:4" x14ac:dyDescent="0.2">
      <c r="A331" s="5">
        <f t="shared" si="24"/>
        <v>0.82250000000000001</v>
      </c>
      <c r="B331">
        <f t="shared" si="25"/>
        <v>20</v>
      </c>
      <c r="C331" s="3">
        <f t="shared" ref="C331:C394" si="26">100-(A331/2*100)</f>
        <v>58.875</v>
      </c>
      <c r="D331">
        <f t="shared" ref="D331:D394" si="27">100-B331*2</f>
        <v>60</v>
      </c>
    </row>
    <row r="332" spans="1:4" x14ac:dyDescent="0.2">
      <c r="A332" s="5">
        <f t="shared" si="24"/>
        <v>0.82499999999999996</v>
      </c>
      <c r="B332">
        <f t="shared" si="25"/>
        <v>20</v>
      </c>
      <c r="C332" s="3">
        <f t="shared" si="26"/>
        <v>58.75</v>
      </c>
      <c r="D332">
        <f t="shared" si="27"/>
        <v>60</v>
      </c>
    </row>
    <row r="333" spans="1:4" x14ac:dyDescent="0.2">
      <c r="A333" s="5">
        <f t="shared" si="24"/>
        <v>0.82750000000000001</v>
      </c>
      <c r="B333">
        <f t="shared" si="25"/>
        <v>20</v>
      </c>
      <c r="C333" s="3">
        <f t="shared" si="26"/>
        <v>58.625</v>
      </c>
      <c r="D333">
        <f t="shared" si="27"/>
        <v>60</v>
      </c>
    </row>
    <row r="334" spans="1:4" x14ac:dyDescent="0.2">
      <c r="A334" s="5">
        <f t="shared" si="24"/>
        <v>0.83</v>
      </c>
      <c r="B334">
        <f t="shared" si="25"/>
        <v>20</v>
      </c>
      <c r="C334" s="3">
        <f t="shared" si="26"/>
        <v>58.5</v>
      </c>
      <c r="D334">
        <f t="shared" si="27"/>
        <v>60</v>
      </c>
    </row>
    <row r="335" spans="1:4" x14ac:dyDescent="0.2">
      <c r="A335" s="5">
        <f t="shared" si="24"/>
        <v>0.83250000000000002</v>
      </c>
      <c r="B335">
        <f t="shared" si="25"/>
        <v>20</v>
      </c>
      <c r="C335" s="3">
        <f t="shared" si="26"/>
        <v>58.375</v>
      </c>
      <c r="D335">
        <f t="shared" si="27"/>
        <v>60</v>
      </c>
    </row>
    <row r="336" spans="1:4" x14ac:dyDescent="0.2">
      <c r="A336" s="5">
        <f t="shared" si="24"/>
        <v>0.83499999999999996</v>
      </c>
      <c r="B336">
        <f t="shared" si="25"/>
        <v>20</v>
      </c>
      <c r="C336" s="3">
        <f t="shared" si="26"/>
        <v>58.25</v>
      </c>
      <c r="D336">
        <f t="shared" si="27"/>
        <v>60</v>
      </c>
    </row>
    <row r="337" spans="1:4" x14ac:dyDescent="0.2">
      <c r="A337" s="5">
        <f t="shared" si="24"/>
        <v>0.83750000000000002</v>
      </c>
      <c r="B337">
        <f t="shared" si="25"/>
        <v>20</v>
      </c>
      <c r="C337" s="3">
        <f t="shared" si="26"/>
        <v>58.125</v>
      </c>
      <c r="D337">
        <f t="shared" si="27"/>
        <v>60</v>
      </c>
    </row>
    <row r="338" spans="1:4" x14ac:dyDescent="0.2">
      <c r="A338" s="5">
        <f t="shared" si="24"/>
        <v>0.84</v>
      </c>
      <c r="B338">
        <f t="shared" si="25"/>
        <v>21</v>
      </c>
      <c r="C338" s="3">
        <f t="shared" si="26"/>
        <v>58</v>
      </c>
      <c r="D338">
        <f t="shared" si="27"/>
        <v>58</v>
      </c>
    </row>
    <row r="339" spans="1:4" x14ac:dyDescent="0.2">
      <c r="A339" s="5">
        <f t="shared" si="24"/>
        <v>0.84250000000000003</v>
      </c>
      <c r="B339">
        <f t="shared" si="25"/>
        <v>21</v>
      </c>
      <c r="C339" s="3">
        <f t="shared" si="26"/>
        <v>57.875</v>
      </c>
      <c r="D339">
        <f t="shared" si="27"/>
        <v>58</v>
      </c>
    </row>
    <row r="340" spans="1:4" x14ac:dyDescent="0.2">
      <c r="A340" s="5">
        <f t="shared" si="24"/>
        <v>0.84499999999999997</v>
      </c>
      <c r="B340">
        <f t="shared" si="25"/>
        <v>21</v>
      </c>
      <c r="C340" s="3">
        <f t="shared" si="26"/>
        <v>57.75</v>
      </c>
      <c r="D340">
        <f t="shared" si="27"/>
        <v>58</v>
      </c>
    </row>
    <row r="341" spans="1:4" x14ac:dyDescent="0.2">
      <c r="A341" s="5">
        <f t="shared" si="24"/>
        <v>0.84750000000000003</v>
      </c>
      <c r="B341">
        <f t="shared" si="25"/>
        <v>21</v>
      </c>
      <c r="C341" s="3">
        <f t="shared" si="26"/>
        <v>57.625</v>
      </c>
      <c r="D341">
        <f t="shared" si="27"/>
        <v>58</v>
      </c>
    </row>
    <row r="342" spans="1:4" x14ac:dyDescent="0.2">
      <c r="A342" s="5">
        <f t="shared" si="24"/>
        <v>0.85</v>
      </c>
      <c r="B342">
        <f t="shared" si="25"/>
        <v>21</v>
      </c>
      <c r="C342" s="3">
        <f t="shared" si="26"/>
        <v>57.5</v>
      </c>
      <c r="D342">
        <f t="shared" si="27"/>
        <v>58</v>
      </c>
    </row>
    <row r="343" spans="1:4" x14ac:dyDescent="0.2">
      <c r="A343" s="5">
        <f t="shared" si="24"/>
        <v>0.85250000000000004</v>
      </c>
      <c r="B343">
        <f t="shared" si="25"/>
        <v>21</v>
      </c>
      <c r="C343" s="3">
        <f t="shared" si="26"/>
        <v>57.375</v>
      </c>
      <c r="D343">
        <f t="shared" si="27"/>
        <v>58</v>
      </c>
    </row>
    <row r="344" spans="1:4" x14ac:dyDescent="0.2">
      <c r="A344" s="5">
        <f t="shared" si="24"/>
        <v>0.85499999999999998</v>
      </c>
      <c r="B344">
        <f t="shared" si="25"/>
        <v>21</v>
      </c>
      <c r="C344" s="3">
        <f t="shared" si="26"/>
        <v>57.25</v>
      </c>
      <c r="D344">
        <f t="shared" si="27"/>
        <v>58</v>
      </c>
    </row>
    <row r="345" spans="1:4" x14ac:dyDescent="0.2">
      <c r="A345" s="5">
        <f t="shared" si="24"/>
        <v>0.85750000000000004</v>
      </c>
      <c r="B345">
        <f t="shared" si="25"/>
        <v>21</v>
      </c>
      <c r="C345" s="3">
        <f t="shared" si="26"/>
        <v>57.125</v>
      </c>
      <c r="D345">
        <f t="shared" si="27"/>
        <v>58</v>
      </c>
    </row>
    <row r="346" spans="1:4" x14ac:dyDescent="0.2">
      <c r="A346" s="5">
        <f t="shared" si="24"/>
        <v>0.86</v>
      </c>
      <c r="B346">
        <f t="shared" si="25"/>
        <v>21</v>
      </c>
      <c r="C346" s="3">
        <f t="shared" si="26"/>
        <v>57</v>
      </c>
      <c r="D346">
        <f t="shared" si="27"/>
        <v>58</v>
      </c>
    </row>
    <row r="347" spans="1:4" x14ac:dyDescent="0.2">
      <c r="A347" s="5">
        <f t="shared" si="24"/>
        <v>0.86250000000000004</v>
      </c>
      <c r="B347">
        <f t="shared" si="25"/>
        <v>21</v>
      </c>
      <c r="C347" s="3">
        <f t="shared" si="26"/>
        <v>56.875</v>
      </c>
      <c r="D347">
        <f t="shared" si="27"/>
        <v>58</v>
      </c>
    </row>
    <row r="348" spans="1:4" x14ac:dyDescent="0.2">
      <c r="A348" s="5">
        <f t="shared" si="24"/>
        <v>0.86499999999999999</v>
      </c>
      <c r="B348">
        <f t="shared" si="25"/>
        <v>21</v>
      </c>
      <c r="C348" s="3">
        <f t="shared" si="26"/>
        <v>56.75</v>
      </c>
      <c r="D348">
        <f t="shared" si="27"/>
        <v>58</v>
      </c>
    </row>
    <row r="349" spans="1:4" x14ac:dyDescent="0.2">
      <c r="A349" s="5">
        <f t="shared" si="24"/>
        <v>0.86750000000000005</v>
      </c>
      <c r="B349">
        <f t="shared" si="25"/>
        <v>21</v>
      </c>
      <c r="C349" s="3">
        <f t="shared" si="26"/>
        <v>56.625</v>
      </c>
      <c r="D349">
        <f t="shared" si="27"/>
        <v>58</v>
      </c>
    </row>
    <row r="350" spans="1:4" x14ac:dyDescent="0.2">
      <c r="A350" s="5">
        <f t="shared" si="24"/>
        <v>0.87</v>
      </c>
      <c r="B350">
        <f t="shared" si="25"/>
        <v>21</v>
      </c>
      <c r="C350" s="3">
        <f t="shared" si="26"/>
        <v>56.5</v>
      </c>
      <c r="D350">
        <f t="shared" si="27"/>
        <v>58</v>
      </c>
    </row>
    <row r="351" spans="1:4" x14ac:dyDescent="0.2">
      <c r="A351" s="5">
        <f t="shared" si="24"/>
        <v>0.87250000000000005</v>
      </c>
      <c r="B351">
        <f t="shared" si="25"/>
        <v>21</v>
      </c>
      <c r="C351" s="3">
        <f t="shared" si="26"/>
        <v>56.375</v>
      </c>
      <c r="D351">
        <f t="shared" si="27"/>
        <v>58</v>
      </c>
    </row>
    <row r="352" spans="1:4" x14ac:dyDescent="0.2">
      <c r="A352" s="5">
        <f t="shared" si="24"/>
        <v>0.875</v>
      </c>
      <c r="B352">
        <f t="shared" si="25"/>
        <v>21</v>
      </c>
      <c r="C352" s="3">
        <f t="shared" si="26"/>
        <v>56.25</v>
      </c>
      <c r="D352">
        <f t="shared" si="27"/>
        <v>58</v>
      </c>
    </row>
    <row r="353" spans="1:4" x14ac:dyDescent="0.2">
      <c r="A353" s="5">
        <f t="shared" si="24"/>
        <v>0.87749999999999995</v>
      </c>
      <c r="B353">
        <f t="shared" si="25"/>
        <v>21</v>
      </c>
      <c r="C353" s="3">
        <f t="shared" si="26"/>
        <v>56.125</v>
      </c>
      <c r="D353">
        <f t="shared" si="27"/>
        <v>58</v>
      </c>
    </row>
    <row r="354" spans="1:4" x14ac:dyDescent="0.2">
      <c r="A354" s="5">
        <f t="shared" si="24"/>
        <v>0.88</v>
      </c>
      <c r="B354">
        <f t="shared" si="25"/>
        <v>22</v>
      </c>
      <c r="C354" s="3">
        <f t="shared" si="26"/>
        <v>56</v>
      </c>
      <c r="D354">
        <f t="shared" si="27"/>
        <v>56</v>
      </c>
    </row>
    <row r="355" spans="1:4" x14ac:dyDescent="0.2">
      <c r="A355" s="5">
        <f t="shared" si="24"/>
        <v>0.88249999999999995</v>
      </c>
      <c r="B355">
        <f t="shared" si="25"/>
        <v>22</v>
      </c>
      <c r="C355" s="3">
        <f t="shared" si="26"/>
        <v>55.875</v>
      </c>
      <c r="D355">
        <f t="shared" si="27"/>
        <v>56</v>
      </c>
    </row>
    <row r="356" spans="1:4" x14ac:dyDescent="0.2">
      <c r="A356" s="5">
        <f t="shared" si="24"/>
        <v>0.88500000000000001</v>
      </c>
      <c r="B356">
        <f t="shared" si="25"/>
        <v>22</v>
      </c>
      <c r="C356" s="3">
        <f t="shared" si="26"/>
        <v>55.75</v>
      </c>
      <c r="D356">
        <f t="shared" si="27"/>
        <v>56</v>
      </c>
    </row>
    <row r="357" spans="1:4" x14ac:dyDescent="0.2">
      <c r="A357" s="5">
        <f t="shared" si="24"/>
        <v>0.88749999999999996</v>
      </c>
      <c r="B357">
        <f t="shared" si="25"/>
        <v>22</v>
      </c>
      <c r="C357" s="3">
        <f t="shared" si="26"/>
        <v>55.625</v>
      </c>
      <c r="D357">
        <f t="shared" si="27"/>
        <v>56</v>
      </c>
    </row>
    <row r="358" spans="1:4" x14ac:dyDescent="0.2">
      <c r="A358" s="5">
        <f t="shared" si="24"/>
        <v>0.89</v>
      </c>
      <c r="B358">
        <f t="shared" si="25"/>
        <v>22</v>
      </c>
      <c r="C358" s="3">
        <f t="shared" si="26"/>
        <v>55.5</v>
      </c>
      <c r="D358">
        <f t="shared" si="27"/>
        <v>56</v>
      </c>
    </row>
    <row r="359" spans="1:4" x14ac:dyDescent="0.2">
      <c r="A359" s="5">
        <f t="shared" si="24"/>
        <v>0.89249999999999996</v>
      </c>
      <c r="B359">
        <f t="shared" si="25"/>
        <v>22</v>
      </c>
      <c r="C359" s="3">
        <f t="shared" si="26"/>
        <v>55.375</v>
      </c>
      <c r="D359">
        <f t="shared" si="27"/>
        <v>56</v>
      </c>
    </row>
    <row r="360" spans="1:4" x14ac:dyDescent="0.2">
      <c r="A360" s="5">
        <f t="shared" si="24"/>
        <v>0.89500000000000002</v>
      </c>
      <c r="B360">
        <f t="shared" si="25"/>
        <v>22</v>
      </c>
      <c r="C360" s="3">
        <f t="shared" si="26"/>
        <v>55.25</v>
      </c>
      <c r="D360">
        <f t="shared" si="27"/>
        <v>56</v>
      </c>
    </row>
    <row r="361" spans="1:4" x14ac:dyDescent="0.2">
      <c r="A361" s="5">
        <f t="shared" si="24"/>
        <v>0.89749999999999996</v>
      </c>
      <c r="B361">
        <f t="shared" si="25"/>
        <v>22</v>
      </c>
      <c r="C361" s="3">
        <f t="shared" si="26"/>
        <v>55.125</v>
      </c>
      <c r="D361">
        <f t="shared" si="27"/>
        <v>56</v>
      </c>
    </row>
    <row r="362" spans="1:4" x14ac:dyDescent="0.2">
      <c r="A362" s="5">
        <f t="shared" si="24"/>
        <v>0.9</v>
      </c>
      <c r="B362">
        <f t="shared" si="25"/>
        <v>22</v>
      </c>
      <c r="C362" s="3">
        <f t="shared" si="26"/>
        <v>55</v>
      </c>
      <c r="D362">
        <f t="shared" si="27"/>
        <v>56</v>
      </c>
    </row>
    <row r="363" spans="1:4" x14ac:dyDescent="0.2">
      <c r="A363" s="5">
        <f t="shared" si="24"/>
        <v>0.90249999999999997</v>
      </c>
      <c r="B363">
        <f t="shared" si="25"/>
        <v>22</v>
      </c>
      <c r="C363" s="3">
        <f t="shared" si="26"/>
        <v>54.875</v>
      </c>
      <c r="D363">
        <f t="shared" si="27"/>
        <v>56</v>
      </c>
    </row>
    <row r="364" spans="1:4" x14ac:dyDescent="0.2">
      <c r="A364" s="5">
        <f t="shared" si="24"/>
        <v>0.90500000000000003</v>
      </c>
      <c r="B364">
        <f t="shared" si="25"/>
        <v>22</v>
      </c>
      <c r="C364" s="3">
        <f t="shared" si="26"/>
        <v>54.75</v>
      </c>
      <c r="D364">
        <f t="shared" si="27"/>
        <v>56</v>
      </c>
    </row>
    <row r="365" spans="1:4" x14ac:dyDescent="0.2">
      <c r="A365" s="5">
        <f t="shared" si="24"/>
        <v>0.90749999999999997</v>
      </c>
      <c r="B365">
        <f t="shared" si="25"/>
        <v>22</v>
      </c>
      <c r="C365" s="3">
        <f t="shared" si="26"/>
        <v>54.625</v>
      </c>
      <c r="D365">
        <f t="shared" si="27"/>
        <v>56</v>
      </c>
    </row>
    <row r="366" spans="1:4" x14ac:dyDescent="0.2">
      <c r="A366" s="5">
        <f t="shared" si="24"/>
        <v>0.91</v>
      </c>
      <c r="B366">
        <f t="shared" si="25"/>
        <v>22</v>
      </c>
      <c r="C366" s="3">
        <f t="shared" si="26"/>
        <v>54.5</v>
      </c>
      <c r="D366">
        <f t="shared" si="27"/>
        <v>56</v>
      </c>
    </row>
    <row r="367" spans="1:4" x14ac:dyDescent="0.2">
      <c r="A367" s="5">
        <f t="shared" si="24"/>
        <v>0.91249999999999998</v>
      </c>
      <c r="B367">
        <f t="shared" si="25"/>
        <v>22</v>
      </c>
      <c r="C367" s="3">
        <f t="shared" si="26"/>
        <v>54.375</v>
      </c>
      <c r="D367">
        <f t="shared" si="27"/>
        <v>56</v>
      </c>
    </row>
    <row r="368" spans="1:4" x14ac:dyDescent="0.2">
      <c r="A368" s="5">
        <f t="shared" si="24"/>
        <v>0.91500000000000004</v>
      </c>
      <c r="B368">
        <f t="shared" si="25"/>
        <v>22</v>
      </c>
      <c r="C368" s="3">
        <f t="shared" si="26"/>
        <v>54.25</v>
      </c>
      <c r="D368">
        <f t="shared" si="27"/>
        <v>56</v>
      </c>
    </row>
    <row r="369" spans="1:4" x14ac:dyDescent="0.2">
      <c r="A369" s="5">
        <f t="shared" si="24"/>
        <v>0.91749999999999998</v>
      </c>
      <c r="B369">
        <f t="shared" si="25"/>
        <v>22</v>
      </c>
      <c r="C369" s="3">
        <f t="shared" si="26"/>
        <v>54.125</v>
      </c>
      <c r="D369">
        <f t="shared" si="27"/>
        <v>56</v>
      </c>
    </row>
    <row r="370" spans="1:4" x14ac:dyDescent="0.2">
      <c r="A370" s="5">
        <f t="shared" si="24"/>
        <v>0.92</v>
      </c>
      <c r="B370">
        <f t="shared" si="25"/>
        <v>23</v>
      </c>
      <c r="C370" s="3">
        <f t="shared" si="26"/>
        <v>54</v>
      </c>
      <c r="D370">
        <f t="shared" si="27"/>
        <v>54</v>
      </c>
    </row>
    <row r="371" spans="1:4" x14ac:dyDescent="0.2">
      <c r="A371" s="5">
        <f t="shared" si="24"/>
        <v>0.92249999999999999</v>
      </c>
      <c r="B371">
        <f t="shared" si="25"/>
        <v>23</v>
      </c>
      <c r="C371" s="3">
        <f t="shared" si="26"/>
        <v>53.875</v>
      </c>
      <c r="D371">
        <f t="shared" si="27"/>
        <v>54</v>
      </c>
    </row>
    <row r="372" spans="1:4" x14ac:dyDescent="0.2">
      <c r="A372" s="5">
        <f t="shared" si="24"/>
        <v>0.92500000000000004</v>
      </c>
      <c r="B372">
        <f t="shared" si="25"/>
        <v>23</v>
      </c>
      <c r="C372" s="3">
        <f t="shared" si="26"/>
        <v>53.75</v>
      </c>
      <c r="D372">
        <f t="shared" si="27"/>
        <v>54</v>
      </c>
    </row>
    <row r="373" spans="1:4" x14ac:dyDescent="0.2">
      <c r="A373" s="5">
        <f t="shared" si="24"/>
        <v>0.92749999999999999</v>
      </c>
      <c r="B373">
        <f t="shared" si="25"/>
        <v>23</v>
      </c>
      <c r="C373" s="3">
        <f t="shared" si="26"/>
        <v>53.625</v>
      </c>
      <c r="D373">
        <f t="shared" si="27"/>
        <v>54</v>
      </c>
    </row>
    <row r="374" spans="1:4" x14ac:dyDescent="0.2">
      <c r="A374" s="5">
        <f t="shared" si="24"/>
        <v>0.93</v>
      </c>
      <c r="B374">
        <f t="shared" si="25"/>
        <v>23</v>
      </c>
      <c r="C374" s="3">
        <f t="shared" si="26"/>
        <v>53.5</v>
      </c>
      <c r="D374">
        <f t="shared" si="27"/>
        <v>54</v>
      </c>
    </row>
    <row r="375" spans="1:4" x14ac:dyDescent="0.2">
      <c r="A375" s="5">
        <f t="shared" si="24"/>
        <v>0.9325</v>
      </c>
      <c r="B375">
        <f t="shared" si="25"/>
        <v>23</v>
      </c>
      <c r="C375" s="3">
        <f t="shared" si="26"/>
        <v>53.375</v>
      </c>
      <c r="D375">
        <f t="shared" si="27"/>
        <v>54</v>
      </c>
    </row>
    <row r="376" spans="1:4" x14ac:dyDescent="0.2">
      <c r="A376" s="5">
        <f t="shared" si="24"/>
        <v>0.93500000000000005</v>
      </c>
      <c r="B376">
        <f t="shared" si="25"/>
        <v>23</v>
      </c>
      <c r="C376" s="3">
        <f t="shared" si="26"/>
        <v>53.25</v>
      </c>
      <c r="D376">
        <f t="shared" si="27"/>
        <v>54</v>
      </c>
    </row>
    <row r="377" spans="1:4" x14ac:dyDescent="0.2">
      <c r="A377" s="5">
        <f t="shared" si="24"/>
        <v>0.9375</v>
      </c>
      <c r="B377">
        <f t="shared" si="25"/>
        <v>23</v>
      </c>
      <c r="C377" s="3">
        <f t="shared" si="26"/>
        <v>53.125</v>
      </c>
      <c r="D377">
        <f t="shared" si="27"/>
        <v>54</v>
      </c>
    </row>
    <row r="378" spans="1:4" x14ac:dyDescent="0.2">
      <c r="A378" s="5">
        <f t="shared" si="24"/>
        <v>0.94</v>
      </c>
      <c r="B378">
        <f t="shared" si="25"/>
        <v>23</v>
      </c>
      <c r="C378" s="3">
        <f t="shared" si="26"/>
        <v>53</v>
      </c>
      <c r="D378">
        <f t="shared" si="27"/>
        <v>54</v>
      </c>
    </row>
    <row r="379" spans="1:4" x14ac:dyDescent="0.2">
      <c r="A379" s="5">
        <f t="shared" si="24"/>
        <v>0.9425</v>
      </c>
      <c r="B379">
        <f t="shared" si="25"/>
        <v>23</v>
      </c>
      <c r="C379" s="3">
        <f t="shared" si="26"/>
        <v>52.875</v>
      </c>
      <c r="D379">
        <f t="shared" si="27"/>
        <v>54</v>
      </c>
    </row>
    <row r="380" spans="1:4" x14ac:dyDescent="0.2">
      <c r="A380" s="5">
        <f t="shared" si="24"/>
        <v>0.94499999999999995</v>
      </c>
      <c r="B380">
        <f t="shared" si="25"/>
        <v>23</v>
      </c>
      <c r="C380" s="3">
        <f t="shared" si="26"/>
        <v>52.75</v>
      </c>
      <c r="D380">
        <f t="shared" si="27"/>
        <v>54</v>
      </c>
    </row>
    <row r="381" spans="1:4" x14ac:dyDescent="0.2">
      <c r="A381" s="5">
        <f t="shared" si="24"/>
        <v>0.94750000000000001</v>
      </c>
      <c r="B381">
        <f t="shared" si="25"/>
        <v>23</v>
      </c>
      <c r="C381" s="3">
        <f t="shared" si="26"/>
        <v>52.625</v>
      </c>
      <c r="D381">
        <f t="shared" si="27"/>
        <v>54</v>
      </c>
    </row>
    <row r="382" spans="1:4" x14ac:dyDescent="0.2">
      <c r="A382" s="5">
        <f t="shared" si="24"/>
        <v>0.95</v>
      </c>
      <c r="B382">
        <f t="shared" si="25"/>
        <v>23</v>
      </c>
      <c r="C382" s="3">
        <f t="shared" si="26"/>
        <v>52.5</v>
      </c>
      <c r="D382">
        <f t="shared" si="27"/>
        <v>54</v>
      </c>
    </row>
    <row r="383" spans="1:4" x14ac:dyDescent="0.2">
      <c r="A383" s="5">
        <f t="shared" si="24"/>
        <v>0.95250000000000001</v>
      </c>
      <c r="B383">
        <f t="shared" si="25"/>
        <v>23</v>
      </c>
      <c r="C383" s="3">
        <f t="shared" si="26"/>
        <v>52.375</v>
      </c>
      <c r="D383">
        <f t="shared" si="27"/>
        <v>54</v>
      </c>
    </row>
    <row r="384" spans="1:4" x14ac:dyDescent="0.2">
      <c r="A384" s="5">
        <f t="shared" si="24"/>
        <v>0.95499999999999996</v>
      </c>
      <c r="B384">
        <f t="shared" si="25"/>
        <v>23</v>
      </c>
      <c r="C384" s="3">
        <f t="shared" si="26"/>
        <v>52.25</v>
      </c>
      <c r="D384">
        <f t="shared" si="27"/>
        <v>54</v>
      </c>
    </row>
    <row r="385" spans="1:4" x14ac:dyDescent="0.2">
      <c r="A385" s="5">
        <f t="shared" si="24"/>
        <v>0.95750000000000002</v>
      </c>
      <c r="B385">
        <f t="shared" si="25"/>
        <v>23</v>
      </c>
      <c r="C385" s="3">
        <f t="shared" si="26"/>
        <v>52.125</v>
      </c>
      <c r="D385">
        <f t="shared" si="27"/>
        <v>54</v>
      </c>
    </row>
    <row r="386" spans="1:4" x14ac:dyDescent="0.2">
      <c r="A386" s="5">
        <f t="shared" si="24"/>
        <v>0.96</v>
      </c>
      <c r="B386">
        <f t="shared" si="25"/>
        <v>24</v>
      </c>
      <c r="C386" s="3">
        <f t="shared" si="26"/>
        <v>52</v>
      </c>
      <c r="D386">
        <f t="shared" si="27"/>
        <v>52</v>
      </c>
    </row>
    <row r="387" spans="1:4" x14ac:dyDescent="0.2">
      <c r="A387" s="5">
        <f t="shared" ref="A387:A450" si="28">(ROW()-2)/400</f>
        <v>0.96250000000000002</v>
      </c>
      <c r="B387">
        <f t="shared" ref="B387:B402" si="29">_xlfn.FLOOR.MATH(A387*25)</f>
        <v>24</v>
      </c>
      <c r="C387" s="3">
        <f t="shared" si="26"/>
        <v>51.875</v>
      </c>
      <c r="D387">
        <f t="shared" si="27"/>
        <v>52</v>
      </c>
    </row>
    <row r="388" spans="1:4" x14ac:dyDescent="0.2">
      <c r="A388" s="5">
        <f t="shared" si="28"/>
        <v>0.96499999999999997</v>
      </c>
      <c r="B388">
        <f t="shared" si="29"/>
        <v>24</v>
      </c>
      <c r="C388" s="3">
        <f t="shared" si="26"/>
        <v>51.75</v>
      </c>
      <c r="D388">
        <f t="shared" si="27"/>
        <v>52</v>
      </c>
    </row>
    <row r="389" spans="1:4" x14ac:dyDescent="0.2">
      <c r="A389" s="5">
        <f t="shared" si="28"/>
        <v>0.96750000000000003</v>
      </c>
      <c r="B389">
        <f t="shared" si="29"/>
        <v>24</v>
      </c>
      <c r="C389" s="3">
        <f t="shared" si="26"/>
        <v>51.625</v>
      </c>
      <c r="D389">
        <f t="shared" si="27"/>
        <v>52</v>
      </c>
    </row>
    <row r="390" spans="1:4" x14ac:dyDescent="0.2">
      <c r="A390" s="5">
        <f t="shared" si="28"/>
        <v>0.97</v>
      </c>
      <c r="B390">
        <f t="shared" si="29"/>
        <v>24</v>
      </c>
      <c r="C390" s="3">
        <f t="shared" si="26"/>
        <v>51.5</v>
      </c>
      <c r="D390">
        <f t="shared" si="27"/>
        <v>52</v>
      </c>
    </row>
    <row r="391" spans="1:4" x14ac:dyDescent="0.2">
      <c r="A391" s="5">
        <f t="shared" si="28"/>
        <v>0.97250000000000003</v>
      </c>
      <c r="B391">
        <f t="shared" si="29"/>
        <v>24</v>
      </c>
      <c r="C391" s="3">
        <f t="shared" si="26"/>
        <v>51.375</v>
      </c>
      <c r="D391">
        <f t="shared" si="27"/>
        <v>52</v>
      </c>
    </row>
    <row r="392" spans="1:4" x14ac:dyDescent="0.2">
      <c r="A392" s="5">
        <f t="shared" si="28"/>
        <v>0.97499999999999998</v>
      </c>
      <c r="B392">
        <f t="shared" si="29"/>
        <v>24</v>
      </c>
      <c r="C392" s="3">
        <f t="shared" si="26"/>
        <v>51.25</v>
      </c>
      <c r="D392">
        <f t="shared" si="27"/>
        <v>52</v>
      </c>
    </row>
    <row r="393" spans="1:4" x14ac:dyDescent="0.2">
      <c r="A393" s="5">
        <f t="shared" si="28"/>
        <v>0.97750000000000004</v>
      </c>
      <c r="B393">
        <f t="shared" si="29"/>
        <v>24</v>
      </c>
      <c r="C393" s="3">
        <f t="shared" si="26"/>
        <v>51.125</v>
      </c>
      <c r="D393">
        <f t="shared" si="27"/>
        <v>52</v>
      </c>
    </row>
    <row r="394" spans="1:4" x14ac:dyDescent="0.2">
      <c r="A394" s="5">
        <f t="shared" si="28"/>
        <v>0.98</v>
      </c>
      <c r="B394">
        <f t="shared" si="29"/>
        <v>24</v>
      </c>
      <c r="C394" s="3">
        <f t="shared" si="26"/>
        <v>51</v>
      </c>
      <c r="D394">
        <f t="shared" si="27"/>
        <v>52</v>
      </c>
    </row>
    <row r="395" spans="1:4" x14ac:dyDescent="0.2">
      <c r="A395" s="5">
        <f t="shared" si="28"/>
        <v>0.98250000000000004</v>
      </c>
      <c r="B395">
        <f t="shared" si="29"/>
        <v>24</v>
      </c>
      <c r="C395" s="3">
        <f t="shared" ref="C395:C402" si="30">100-(A395/2*100)</f>
        <v>50.875</v>
      </c>
      <c r="D395">
        <f t="shared" ref="D395:D402" si="31">100-B395*2</f>
        <v>52</v>
      </c>
    </row>
    <row r="396" spans="1:4" x14ac:dyDescent="0.2">
      <c r="A396" s="5">
        <f t="shared" si="28"/>
        <v>0.98499999999999999</v>
      </c>
      <c r="B396">
        <f t="shared" si="29"/>
        <v>24</v>
      </c>
      <c r="C396" s="3">
        <f t="shared" si="30"/>
        <v>50.75</v>
      </c>
      <c r="D396">
        <f t="shared" si="31"/>
        <v>52</v>
      </c>
    </row>
    <row r="397" spans="1:4" x14ac:dyDescent="0.2">
      <c r="A397" s="5">
        <f t="shared" si="28"/>
        <v>0.98750000000000004</v>
      </c>
      <c r="B397">
        <f t="shared" si="29"/>
        <v>24</v>
      </c>
      <c r="C397" s="3">
        <f t="shared" si="30"/>
        <v>50.625</v>
      </c>
      <c r="D397">
        <f t="shared" si="31"/>
        <v>52</v>
      </c>
    </row>
    <row r="398" spans="1:4" x14ac:dyDescent="0.2">
      <c r="A398" s="5">
        <f t="shared" si="28"/>
        <v>0.99</v>
      </c>
      <c r="B398">
        <f t="shared" si="29"/>
        <v>24</v>
      </c>
      <c r="C398" s="3">
        <f t="shared" si="30"/>
        <v>50.5</v>
      </c>
      <c r="D398">
        <f t="shared" si="31"/>
        <v>52</v>
      </c>
    </row>
    <row r="399" spans="1:4" x14ac:dyDescent="0.2">
      <c r="A399" s="5">
        <f t="shared" si="28"/>
        <v>0.99250000000000005</v>
      </c>
      <c r="B399">
        <f t="shared" si="29"/>
        <v>24</v>
      </c>
      <c r="C399" s="3">
        <f t="shared" si="30"/>
        <v>50.375</v>
      </c>
      <c r="D399">
        <f t="shared" si="31"/>
        <v>52</v>
      </c>
    </row>
    <row r="400" spans="1:4" x14ac:dyDescent="0.2">
      <c r="A400" s="5">
        <f t="shared" si="28"/>
        <v>0.995</v>
      </c>
      <c r="B400">
        <f t="shared" si="29"/>
        <v>24</v>
      </c>
      <c r="C400" s="3">
        <f t="shared" si="30"/>
        <v>50.25</v>
      </c>
      <c r="D400">
        <f t="shared" si="31"/>
        <v>52</v>
      </c>
    </row>
    <row r="401" spans="1:4" x14ac:dyDescent="0.2">
      <c r="A401" s="5">
        <f t="shared" si="28"/>
        <v>0.99750000000000005</v>
      </c>
      <c r="B401">
        <f t="shared" si="29"/>
        <v>24</v>
      </c>
      <c r="C401" s="3">
        <f t="shared" si="30"/>
        <v>50.125</v>
      </c>
      <c r="D401">
        <f t="shared" si="31"/>
        <v>52</v>
      </c>
    </row>
    <row r="402" spans="1:4" x14ac:dyDescent="0.2">
      <c r="A402" s="5">
        <f t="shared" si="28"/>
        <v>1</v>
      </c>
      <c r="B402">
        <f t="shared" si="29"/>
        <v>25</v>
      </c>
      <c r="C402" s="3">
        <f t="shared" si="30"/>
        <v>50</v>
      </c>
      <c r="D402">
        <f t="shared" si="31"/>
        <v>50</v>
      </c>
    </row>
    <row r="403" spans="1:4" x14ac:dyDescent="0.2">
      <c r="A403" s="5">
        <f t="shared" si="28"/>
        <v>1.0024999999999999</v>
      </c>
      <c r="B403">
        <f>_xlfn.FLOOR.MATH(A403*25)</f>
        <v>25</v>
      </c>
      <c r="C403" s="3">
        <f>100-(A403/2*100)</f>
        <v>49.875</v>
      </c>
      <c r="D403">
        <f>100-B403*2</f>
        <v>50</v>
      </c>
    </row>
    <row r="404" spans="1:4" x14ac:dyDescent="0.2">
      <c r="A404" s="5">
        <f t="shared" si="28"/>
        <v>1.0049999999999999</v>
      </c>
      <c r="B404">
        <f t="shared" ref="B404:B467" si="32">_xlfn.FLOOR.MATH(A404*25)</f>
        <v>25</v>
      </c>
      <c r="C404" s="3">
        <f t="shared" ref="C404:C452" si="33">100-(A404/2*100)</f>
        <v>49.750000000000007</v>
      </c>
      <c r="D404">
        <f t="shared" ref="D404:D467" si="34">100-B404*2</f>
        <v>50</v>
      </c>
    </row>
    <row r="405" spans="1:4" x14ac:dyDescent="0.2">
      <c r="A405" s="5">
        <f t="shared" si="28"/>
        <v>1.0075000000000001</v>
      </c>
      <c r="B405">
        <f t="shared" si="32"/>
        <v>25</v>
      </c>
      <c r="C405" s="3">
        <f t="shared" si="33"/>
        <v>49.625</v>
      </c>
      <c r="D405">
        <f t="shared" si="34"/>
        <v>50</v>
      </c>
    </row>
    <row r="406" spans="1:4" x14ac:dyDescent="0.2">
      <c r="A406" s="5">
        <f t="shared" si="28"/>
        <v>1.01</v>
      </c>
      <c r="B406">
        <f t="shared" si="32"/>
        <v>25</v>
      </c>
      <c r="C406" s="3">
        <f t="shared" si="33"/>
        <v>49.5</v>
      </c>
      <c r="D406">
        <f t="shared" si="34"/>
        <v>50</v>
      </c>
    </row>
    <row r="407" spans="1:4" x14ac:dyDescent="0.2">
      <c r="A407" s="5">
        <f t="shared" si="28"/>
        <v>1.0125</v>
      </c>
      <c r="B407">
        <f t="shared" si="32"/>
        <v>25</v>
      </c>
      <c r="C407" s="3">
        <f t="shared" si="33"/>
        <v>49.375</v>
      </c>
      <c r="D407">
        <f t="shared" si="34"/>
        <v>50</v>
      </c>
    </row>
    <row r="408" spans="1:4" x14ac:dyDescent="0.2">
      <c r="A408" s="5">
        <f t="shared" si="28"/>
        <v>1.0149999999999999</v>
      </c>
      <c r="B408">
        <f t="shared" si="32"/>
        <v>25</v>
      </c>
      <c r="C408" s="3">
        <f t="shared" si="33"/>
        <v>49.250000000000007</v>
      </c>
      <c r="D408">
        <f t="shared" si="34"/>
        <v>50</v>
      </c>
    </row>
    <row r="409" spans="1:4" x14ac:dyDescent="0.2">
      <c r="A409" s="5">
        <f t="shared" si="28"/>
        <v>1.0175000000000001</v>
      </c>
      <c r="B409">
        <f t="shared" si="32"/>
        <v>25</v>
      </c>
      <c r="C409" s="3">
        <f t="shared" si="33"/>
        <v>49.125</v>
      </c>
      <c r="D409">
        <f t="shared" si="34"/>
        <v>50</v>
      </c>
    </row>
    <row r="410" spans="1:4" x14ac:dyDescent="0.2">
      <c r="A410" s="5">
        <f t="shared" si="28"/>
        <v>1.02</v>
      </c>
      <c r="B410">
        <f t="shared" si="32"/>
        <v>25</v>
      </c>
      <c r="C410" s="3">
        <f t="shared" si="33"/>
        <v>49</v>
      </c>
      <c r="D410">
        <f t="shared" si="34"/>
        <v>50</v>
      </c>
    </row>
    <row r="411" spans="1:4" x14ac:dyDescent="0.2">
      <c r="A411" s="5">
        <f t="shared" si="28"/>
        <v>1.0225</v>
      </c>
      <c r="B411">
        <f t="shared" si="32"/>
        <v>25</v>
      </c>
      <c r="C411" s="3">
        <f t="shared" si="33"/>
        <v>48.875</v>
      </c>
      <c r="D411">
        <f t="shared" si="34"/>
        <v>50</v>
      </c>
    </row>
    <row r="412" spans="1:4" x14ac:dyDescent="0.2">
      <c r="A412" s="5">
        <f t="shared" si="28"/>
        <v>1.0249999999999999</v>
      </c>
      <c r="B412">
        <f t="shared" si="32"/>
        <v>25</v>
      </c>
      <c r="C412" s="3">
        <f t="shared" si="33"/>
        <v>48.750000000000007</v>
      </c>
      <c r="D412">
        <f t="shared" si="34"/>
        <v>50</v>
      </c>
    </row>
    <row r="413" spans="1:4" x14ac:dyDescent="0.2">
      <c r="A413" s="5">
        <f t="shared" si="28"/>
        <v>1.0275000000000001</v>
      </c>
      <c r="B413">
        <f t="shared" si="32"/>
        <v>25</v>
      </c>
      <c r="C413" s="3">
        <f t="shared" si="33"/>
        <v>48.624999999999993</v>
      </c>
      <c r="D413">
        <f t="shared" si="34"/>
        <v>50</v>
      </c>
    </row>
    <row r="414" spans="1:4" x14ac:dyDescent="0.2">
      <c r="A414" s="5">
        <f t="shared" si="28"/>
        <v>1.03</v>
      </c>
      <c r="B414">
        <f t="shared" si="32"/>
        <v>25</v>
      </c>
      <c r="C414" s="3">
        <f t="shared" si="33"/>
        <v>48.5</v>
      </c>
      <c r="D414">
        <f t="shared" si="34"/>
        <v>50</v>
      </c>
    </row>
    <row r="415" spans="1:4" x14ac:dyDescent="0.2">
      <c r="A415" s="5">
        <f t="shared" si="28"/>
        <v>1.0325</v>
      </c>
      <c r="B415">
        <f t="shared" si="32"/>
        <v>25</v>
      </c>
      <c r="C415" s="3">
        <f t="shared" si="33"/>
        <v>48.375</v>
      </c>
      <c r="D415">
        <f t="shared" si="34"/>
        <v>50</v>
      </c>
    </row>
    <row r="416" spans="1:4" x14ac:dyDescent="0.2">
      <c r="A416" s="5">
        <f t="shared" si="28"/>
        <v>1.0349999999999999</v>
      </c>
      <c r="B416">
        <f t="shared" si="32"/>
        <v>25</v>
      </c>
      <c r="C416" s="3">
        <f t="shared" si="33"/>
        <v>48.250000000000007</v>
      </c>
      <c r="D416">
        <f t="shared" si="34"/>
        <v>50</v>
      </c>
    </row>
    <row r="417" spans="1:4" x14ac:dyDescent="0.2">
      <c r="A417" s="5">
        <f t="shared" si="28"/>
        <v>1.0375000000000001</v>
      </c>
      <c r="B417">
        <f t="shared" si="32"/>
        <v>25</v>
      </c>
      <c r="C417" s="3">
        <f t="shared" si="33"/>
        <v>48.124999999999993</v>
      </c>
      <c r="D417">
        <f t="shared" si="34"/>
        <v>50</v>
      </c>
    </row>
    <row r="418" spans="1:4" x14ac:dyDescent="0.2">
      <c r="A418" s="5">
        <f t="shared" si="28"/>
        <v>1.04</v>
      </c>
      <c r="B418">
        <f t="shared" si="32"/>
        <v>26</v>
      </c>
      <c r="C418" s="3">
        <f t="shared" si="33"/>
        <v>48</v>
      </c>
      <c r="D418">
        <f t="shared" si="34"/>
        <v>48</v>
      </c>
    </row>
    <row r="419" spans="1:4" x14ac:dyDescent="0.2">
      <c r="A419" s="5">
        <f t="shared" si="28"/>
        <v>1.0425</v>
      </c>
      <c r="B419">
        <f t="shared" si="32"/>
        <v>26</v>
      </c>
      <c r="C419" s="3">
        <f t="shared" si="33"/>
        <v>47.875</v>
      </c>
      <c r="D419">
        <f t="shared" si="34"/>
        <v>48</v>
      </c>
    </row>
    <row r="420" spans="1:4" x14ac:dyDescent="0.2">
      <c r="A420" s="5">
        <f t="shared" si="28"/>
        <v>1.0449999999999999</v>
      </c>
      <c r="B420">
        <f t="shared" si="32"/>
        <v>26</v>
      </c>
      <c r="C420" s="3">
        <f t="shared" si="33"/>
        <v>47.75</v>
      </c>
      <c r="D420">
        <f t="shared" si="34"/>
        <v>48</v>
      </c>
    </row>
    <row r="421" spans="1:4" x14ac:dyDescent="0.2">
      <c r="A421" s="5">
        <f t="shared" si="28"/>
        <v>1.0475000000000001</v>
      </c>
      <c r="B421">
        <f t="shared" si="32"/>
        <v>26</v>
      </c>
      <c r="C421" s="3">
        <f t="shared" si="33"/>
        <v>47.624999999999993</v>
      </c>
      <c r="D421">
        <f t="shared" si="34"/>
        <v>48</v>
      </c>
    </row>
    <row r="422" spans="1:4" x14ac:dyDescent="0.2">
      <c r="A422" s="5">
        <f t="shared" si="28"/>
        <v>1.05</v>
      </c>
      <c r="B422">
        <f t="shared" si="32"/>
        <v>26</v>
      </c>
      <c r="C422" s="3">
        <f t="shared" si="33"/>
        <v>47.5</v>
      </c>
      <c r="D422">
        <f t="shared" si="34"/>
        <v>48</v>
      </c>
    </row>
    <row r="423" spans="1:4" x14ac:dyDescent="0.2">
      <c r="A423" s="5">
        <f t="shared" si="28"/>
        <v>1.0525</v>
      </c>
      <c r="B423">
        <f t="shared" si="32"/>
        <v>26</v>
      </c>
      <c r="C423" s="3">
        <f t="shared" si="33"/>
        <v>47.375</v>
      </c>
      <c r="D423">
        <f t="shared" si="34"/>
        <v>48</v>
      </c>
    </row>
    <row r="424" spans="1:4" x14ac:dyDescent="0.2">
      <c r="A424" s="5">
        <f t="shared" si="28"/>
        <v>1.0549999999999999</v>
      </c>
      <c r="B424">
        <f t="shared" si="32"/>
        <v>26</v>
      </c>
      <c r="C424" s="3">
        <f t="shared" si="33"/>
        <v>47.25</v>
      </c>
      <c r="D424">
        <f t="shared" si="34"/>
        <v>48</v>
      </c>
    </row>
    <row r="425" spans="1:4" x14ac:dyDescent="0.2">
      <c r="A425" s="5">
        <f t="shared" si="28"/>
        <v>1.0575000000000001</v>
      </c>
      <c r="B425">
        <f t="shared" si="32"/>
        <v>26</v>
      </c>
      <c r="C425" s="3">
        <f t="shared" si="33"/>
        <v>47.124999999999993</v>
      </c>
      <c r="D425">
        <f t="shared" si="34"/>
        <v>48</v>
      </c>
    </row>
    <row r="426" spans="1:4" x14ac:dyDescent="0.2">
      <c r="A426" s="5">
        <f t="shared" si="28"/>
        <v>1.06</v>
      </c>
      <c r="B426">
        <f t="shared" si="32"/>
        <v>26</v>
      </c>
      <c r="C426" s="3">
        <f t="shared" si="33"/>
        <v>47</v>
      </c>
      <c r="D426">
        <f t="shared" si="34"/>
        <v>48</v>
      </c>
    </row>
    <row r="427" spans="1:4" x14ac:dyDescent="0.2">
      <c r="A427" s="5">
        <f t="shared" si="28"/>
        <v>1.0625</v>
      </c>
      <c r="B427">
        <f t="shared" si="32"/>
        <v>26</v>
      </c>
      <c r="C427" s="3">
        <f t="shared" si="33"/>
        <v>46.875</v>
      </c>
      <c r="D427">
        <f t="shared" si="34"/>
        <v>48</v>
      </c>
    </row>
    <row r="428" spans="1:4" x14ac:dyDescent="0.2">
      <c r="A428" s="5">
        <f t="shared" si="28"/>
        <v>1.0649999999999999</v>
      </c>
      <c r="B428">
        <f t="shared" si="32"/>
        <v>26</v>
      </c>
      <c r="C428" s="3">
        <f t="shared" si="33"/>
        <v>46.75</v>
      </c>
      <c r="D428">
        <f t="shared" si="34"/>
        <v>48</v>
      </c>
    </row>
    <row r="429" spans="1:4" x14ac:dyDescent="0.2">
      <c r="A429" s="5">
        <f t="shared" si="28"/>
        <v>1.0674999999999999</v>
      </c>
      <c r="B429">
        <f t="shared" si="32"/>
        <v>26</v>
      </c>
      <c r="C429" s="3">
        <f t="shared" si="33"/>
        <v>46.625000000000007</v>
      </c>
      <c r="D429">
        <f t="shared" si="34"/>
        <v>48</v>
      </c>
    </row>
    <row r="430" spans="1:4" x14ac:dyDescent="0.2">
      <c r="A430" s="5">
        <f t="shared" si="28"/>
        <v>1.07</v>
      </c>
      <c r="B430">
        <f t="shared" si="32"/>
        <v>26</v>
      </c>
      <c r="C430" s="3">
        <f t="shared" si="33"/>
        <v>46.5</v>
      </c>
      <c r="D430">
        <f t="shared" si="34"/>
        <v>48</v>
      </c>
    </row>
    <row r="431" spans="1:4" x14ac:dyDescent="0.2">
      <c r="A431" s="5">
        <f t="shared" si="28"/>
        <v>1.0725</v>
      </c>
      <c r="B431">
        <f t="shared" si="32"/>
        <v>26</v>
      </c>
      <c r="C431" s="3">
        <f t="shared" si="33"/>
        <v>46.375</v>
      </c>
      <c r="D431">
        <f t="shared" si="34"/>
        <v>48</v>
      </c>
    </row>
    <row r="432" spans="1:4" x14ac:dyDescent="0.2">
      <c r="A432" s="5">
        <f t="shared" si="28"/>
        <v>1.075</v>
      </c>
      <c r="B432">
        <f t="shared" si="32"/>
        <v>26</v>
      </c>
      <c r="C432" s="3">
        <f t="shared" si="33"/>
        <v>46.25</v>
      </c>
      <c r="D432">
        <f t="shared" si="34"/>
        <v>48</v>
      </c>
    </row>
    <row r="433" spans="1:4" x14ac:dyDescent="0.2">
      <c r="A433" s="5">
        <f t="shared" si="28"/>
        <v>1.0774999999999999</v>
      </c>
      <c r="B433">
        <f t="shared" si="32"/>
        <v>26</v>
      </c>
      <c r="C433" s="3">
        <f t="shared" si="33"/>
        <v>46.125000000000007</v>
      </c>
      <c r="D433">
        <f t="shared" si="34"/>
        <v>48</v>
      </c>
    </row>
    <row r="434" spans="1:4" x14ac:dyDescent="0.2">
      <c r="A434" s="5">
        <f t="shared" si="28"/>
        <v>1.08</v>
      </c>
      <c r="B434">
        <f t="shared" si="32"/>
        <v>27</v>
      </c>
      <c r="C434" s="3">
        <f t="shared" si="33"/>
        <v>46</v>
      </c>
      <c r="D434">
        <f t="shared" si="34"/>
        <v>46</v>
      </c>
    </row>
    <row r="435" spans="1:4" x14ac:dyDescent="0.2">
      <c r="A435" s="5">
        <f t="shared" si="28"/>
        <v>1.0825</v>
      </c>
      <c r="B435">
        <f t="shared" si="32"/>
        <v>27</v>
      </c>
      <c r="C435" s="3">
        <f t="shared" si="33"/>
        <v>45.875</v>
      </c>
      <c r="D435">
        <f t="shared" si="34"/>
        <v>46</v>
      </c>
    </row>
    <row r="436" spans="1:4" x14ac:dyDescent="0.2">
      <c r="A436" s="5">
        <f t="shared" si="28"/>
        <v>1.085</v>
      </c>
      <c r="B436">
        <f t="shared" si="32"/>
        <v>27</v>
      </c>
      <c r="C436" s="3">
        <f t="shared" si="33"/>
        <v>45.75</v>
      </c>
      <c r="D436">
        <f t="shared" si="34"/>
        <v>46</v>
      </c>
    </row>
    <row r="437" spans="1:4" x14ac:dyDescent="0.2">
      <c r="A437" s="5">
        <f t="shared" si="28"/>
        <v>1.0874999999999999</v>
      </c>
      <c r="B437">
        <f t="shared" si="32"/>
        <v>27</v>
      </c>
      <c r="C437" s="3">
        <f t="shared" si="33"/>
        <v>45.625000000000007</v>
      </c>
      <c r="D437">
        <f t="shared" si="34"/>
        <v>46</v>
      </c>
    </row>
    <row r="438" spans="1:4" x14ac:dyDescent="0.2">
      <c r="A438" s="5">
        <f t="shared" si="28"/>
        <v>1.0900000000000001</v>
      </c>
      <c r="B438">
        <f t="shared" si="32"/>
        <v>27</v>
      </c>
      <c r="C438" s="3">
        <f t="shared" si="33"/>
        <v>45.499999999999993</v>
      </c>
      <c r="D438">
        <f t="shared" si="34"/>
        <v>46</v>
      </c>
    </row>
    <row r="439" spans="1:4" x14ac:dyDescent="0.2">
      <c r="A439" s="5">
        <f t="shared" si="28"/>
        <v>1.0925</v>
      </c>
      <c r="B439">
        <f t="shared" si="32"/>
        <v>27</v>
      </c>
      <c r="C439" s="3">
        <f t="shared" si="33"/>
        <v>45.375</v>
      </c>
      <c r="D439">
        <f t="shared" si="34"/>
        <v>46</v>
      </c>
    </row>
    <row r="440" spans="1:4" x14ac:dyDescent="0.2">
      <c r="A440" s="5">
        <f t="shared" si="28"/>
        <v>1.095</v>
      </c>
      <c r="B440">
        <f t="shared" si="32"/>
        <v>27</v>
      </c>
      <c r="C440" s="3">
        <f t="shared" si="33"/>
        <v>45.25</v>
      </c>
      <c r="D440">
        <f t="shared" si="34"/>
        <v>46</v>
      </c>
    </row>
    <row r="441" spans="1:4" x14ac:dyDescent="0.2">
      <c r="A441" s="5">
        <f t="shared" si="28"/>
        <v>1.0974999999999999</v>
      </c>
      <c r="B441">
        <f t="shared" si="32"/>
        <v>27</v>
      </c>
      <c r="C441" s="3">
        <f t="shared" si="33"/>
        <v>45.125000000000007</v>
      </c>
      <c r="D441">
        <f t="shared" si="34"/>
        <v>46</v>
      </c>
    </row>
    <row r="442" spans="1:4" x14ac:dyDescent="0.2">
      <c r="A442" s="5">
        <f t="shared" si="28"/>
        <v>1.1000000000000001</v>
      </c>
      <c r="B442">
        <f t="shared" si="32"/>
        <v>27</v>
      </c>
      <c r="C442" s="3">
        <f t="shared" si="33"/>
        <v>44.999999999999993</v>
      </c>
      <c r="D442">
        <f t="shared" si="34"/>
        <v>46</v>
      </c>
    </row>
    <row r="443" spans="1:4" x14ac:dyDescent="0.2">
      <c r="A443" s="5">
        <f t="shared" si="28"/>
        <v>1.1025</v>
      </c>
      <c r="B443">
        <f t="shared" si="32"/>
        <v>27</v>
      </c>
      <c r="C443" s="3">
        <f t="shared" si="33"/>
        <v>44.875</v>
      </c>
      <c r="D443">
        <f t="shared" si="34"/>
        <v>46</v>
      </c>
    </row>
    <row r="444" spans="1:4" x14ac:dyDescent="0.2">
      <c r="A444" s="5">
        <f t="shared" si="28"/>
        <v>1.105</v>
      </c>
      <c r="B444">
        <f t="shared" si="32"/>
        <v>27</v>
      </c>
      <c r="C444" s="3">
        <f t="shared" si="33"/>
        <v>44.75</v>
      </c>
      <c r="D444">
        <f t="shared" si="34"/>
        <v>46</v>
      </c>
    </row>
    <row r="445" spans="1:4" x14ac:dyDescent="0.2">
      <c r="A445" s="5">
        <f t="shared" si="28"/>
        <v>1.1074999999999999</v>
      </c>
      <c r="B445">
        <f t="shared" si="32"/>
        <v>27</v>
      </c>
      <c r="C445" s="3">
        <f t="shared" si="33"/>
        <v>44.625</v>
      </c>
      <c r="D445">
        <f t="shared" si="34"/>
        <v>46</v>
      </c>
    </row>
    <row r="446" spans="1:4" x14ac:dyDescent="0.2">
      <c r="A446" s="5">
        <f t="shared" si="28"/>
        <v>1.1100000000000001</v>
      </c>
      <c r="B446">
        <f t="shared" si="32"/>
        <v>27</v>
      </c>
      <c r="C446" s="3">
        <f t="shared" si="33"/>
        <v>44.499999999999993</v>
      </c>
      <c r="D446">
        <f t="shared" si="34"/>
        <v>46</v>
      </c>
    </row>
    <row r="447" spans="1:4" x14ac:dyDescent="0.2">
      <c r="A447" s="5">
        <f t="shared" si="28"/>
        <v>1.1125</v>
      </c>
      <c r="B447">
        <f t="shared" si="32"/>
        <v>27</v>
      </c>
      <c r="C447" s="3">
        <f t="shared" si="33"/>
        <v>44.375</v>
      </c>
      <c r="D447">
        <f t="shared" si="34"/>
        <v>46</v>
      </c>
    </row>
    <row r="448" spans="1:4" x14ac:dyDescent="0.2">
      <c r="A448" s="5">
        <f t="shared" si="28"/>
        <v>1.115</v>
      </c>
      <c r="B448">
        <f t="shared" si="32"/>
        <v>27</v>
      </c>
      <c r="C448" s="3">
        <f t="shared" si="33"/>
        <v>44.25</v>
      </c>
      <c r="D448">
        <f t="shared" si="34"/>
        <v>46</v>
      </c>
    </row>
    <row r="449" spans="1:4" x14ac:dyDescent="0.2">
      <c r="A449" s="5">
        <f t="shared" si="28"/>
        <v>1.1174999999999999</v>
      </c>
      <c r="B449">
        <f t="shared" si="32"/>
        <v>27</v>
      </c>
      <c r="C449" s="3">
        <f t="shared" si="33"/>
        <v>44.125</v>
      </c>
      <c r="D449">
        <f t="shared" si="34"/>
        <v>46</v>
      </c>
    </row>
    <row r="450" spans="1:4" x14ac:dyDescent="0.2">
      <c r="A450" s="5">
        <f t="shared" si="28"/>
        <v>1.1200000000000001</v>
      </c>
      <c r="B450">
        <f t="shared" si="32"/>
        <v>28</v>
      </c>
      <c r="C450" s="3">
        <f t="shared" si="33"/>
        <v>43.999999999999993</v>
      </c>
      <c r="D450">
        <f t="shared" si="34"/>
        <v>44</v>
      </c>
    </row>
    <row r="451" spans="1:4" x14ac:dyDescent="0.2">
      <c r="A451" s="5">
        <f t="shared" ref="A451:A514" si="35">(ROW()-2)/400</f>
        <v>1.1225000000000001</v>
      </c>
      <c r="B451">
        <f t="shared" si="32"/>
        <v>28</v>
      </c>
      <c r="C451" s="3">
        <f t="shared" si="33"/>
        <v>43.875</v>
      </c>
      <c r="D451">
        <f t="shared" si="34"/>
        <v>44</v>
      </c>
    </row>
    <row r="452" spans="1:4" x14ac:dyDescent="0.2">
      <c r="A452" s="5">
        <f t="shared" si="35"/>
        <v>1.125</v>
      </c>
      <c r="B452">
        <f t="shared" si="32"/>
        <v>28</v>
      </c>
      <c r="C452" s="3">
        <f t="shared" si="33"/>
        <v>43.75</v>
      </c>
      <c r="D452">
        <f t="shared" si="34"/>
        <v>44</v>
      </c>
    </row>
    <row r="453" spans="1:4" x14ac:dyDescent="0.2">
      <c r="A453" s="5">
        <f t="shared" si="35"/>
        <v>1.1274999999999999</v>
      </c>
      <c r="B453">
        <f t="shared" si="32"/>
        <v>28</v>
      </c>
      <c r="C453" s="3">
        <f>100-(A453/2*100)</f>
        <v>43.625</v>
      </c>
      <c r="D453">
        <f t="shared" si="34"/>
        <v>44</v>
      </c>
    </row>
    <row r="454" spans="1:4" x14ac:dyDescent="0.2">
      <c r="A454" s="5">
        <f t="shared" si="35"/>
        <v>1.1299999999999999</v>
      </c>
      <c r="B454">
        <f t="shared" si="32"/>
        <v>28</v>
      </c>
      <c r="C454" s="3">
        <f t="shared" ref="C454:C517" si="36">100-(A454/2*100)</f>
        <v>43.500000000000007</v>
      </c>
      <c r="D454">
        <f t="shared" si="34"/>
        <v>44</v>
      </c>
    </row>
    <row r="455" spans="1:4" x14ac:dyDescent="0.2">
      <c r="A455" s="5">
        <f t="shared" si="35"/>
        <v>1.1325000000000001</v>
      </c>
      <c r="B455">
        <f t="shared" si="32"/>
        <v>28</v>
      </c>
      <c r="C455" s="3">
        <f t="shared" si="36"/>
        <v>43.375</v>
      </c>
      <c r="D455">
        <f t="shared" si="34"/>
        <v>44</v>
      </c>
    </row>
    <row r="456" spans="1:4" x14ac:dyDescent="0.2">
      <c r="A456" s="5">
        <f t="shared" si="35"/>
        <v>1.135</v>
      </c>
      <c r="B456">
        <f t="shared" si="32"/>
        <v>28</v>
      </c>
      <c r="C456" s="3">
        <f t="shared" si="36"/>
        <v>43.25</v>
      </c>
      <c r="D456">
        <f t="shared" si="34"/>
        <v>44</v>
      </c>
    </row>
    <row r="457" spans="1:4" x14ac:dyDescent="0.2">
      <c r="A457" s="5">
        <f t="shared" si="35"/>
        <v>1.1375</v>
      </c>
      <c r="B457">
        <f t="shared" si="32"/>
        <v>28</v>
      </c>
      <c r="C457" s="3">
        <f t="shared" si="36"/>
        <v>43.125</v>
      </c>
      <c r="D457">
        <f t="shared" si="34"/>
        <v>44</v>
      </c>
    </row>
    <row r="458" spans="1:4" x14ac:dyDescent="0.2">
      <c r="A458" s="5">
        <f t="shared" si="35"/>
        <v>1.1399999999999999</v>
      </c>
      <c r="B458">
        <f t="shared" si="32"/>
        <v>28</v>
      </c>
      <c r="C458" s="3">
        <f t="shared" si="36"/>
        <v>43.000000000000007</v>
      </c>
      <c r="D458">
        <f t="shared" si="34"/>
        <v>44</v>
      </c>
    </row>
    <row r="459" spans="1:4" x14ac:dyDescent="0.2">
      <c r="A459" s="5">
        <f t="shared" si="35"/>
        <v>1.1425000000000001</v>
      </c>
      <c r="B459">
        <f t="shared" si="32"/>
        <v>28</v>
      </c>
      <c r="C459" s="3">
        <f t="shared" si="36"/>
        <v>42.875</v>
      </c>
      <c r="D459">
        <f t="shared" si="34"/>
        <v>44</v>
      </c>
    </row>
    <row r="460" spans="1:4" x14ac:dyDescent="0.2">
      <c r="A460" s="5">
        <f t="shared" si="35"/>
        <v>1.145</v>
      </c>
      <c r="B460">
        <f t="shared" si="32"/>
        <v>28</v>
      </c>
      <c r="C460" s="3">
        <f t="shared" si="36"/>
        <v>42.75</v>
      </c>
      <c r="D460">
        <f t="shared" si="34"/>
        <v>44</v>
      </c>
    </row>
    <row r="461" spans="1:4" x14ac:dyDescent="0.2">
      <c r="A461" s="5">
        <f t="shared" si="35"/>
        <v>1.1475</v>
      </c>
      <c r="B461">
        <f t="shared" si="32"/>
        <v>28</v>
      </c>
      <c r="C461" s="3">
        <f t="shared" si="36"/>
        <v>42.625</v>
      </c>
      <c r="D461">
        <f t="shared" si="34"/>
        <v>44</v>
      </c>
    </row>
    <row r="462" spans="1:4" x14ac:dyDescent="0.2">
      <c r="A462" s="5">
        <f t="shared" si="35"/>
        <v>1.1499999999999999</v>
      </c>
      <c r="B462">
        <f t="shared" si="32"/>
        <v>28</v>
      </c>
      <c r="C462" s="3">
        <f t="shared" si="36"/>
        <v>42.500000000000007</v>
      </c>
      <c r="D462">
        <f t="shared" si="34"/>
        <v>44</v>
      </c>
    </row>
    <row r="463" spans="1:4" x14ac:dyDescent="0.2">
      <c r="A463" s="5">
        <f t="shared" si="35"/>
        <v>1.1525000000000001</v>
      </c>
      <c r="B463">
        <f t="shared" si="32"/>
        <v>28</v>
      </c>
      <c r="C463" s="3">
        <f t="shared" si="36"/>
        <v>42.374999999999993</v>
      </c>
      <c r="D463">
        <f t="shared" si="34"/>
        <v>44</v>
      </c>
    </row>
    <row r="464" spans="1:4" x14ac:dyDescent="0.2">
      <c r="A464" s="5">
        <f t="shared" si="35"/>
        <v>1.155</v>
      </c>
      <c r="B464">
        <f t="shared" si="32"/>
        <v>28</v>
      </c>
      <c r="C464" s="3">
        <f t="shared" si="36"/>
        <v>42.25</v>
      </c>
      <c r="D464">
        <f t="shared" si="34"/>
        <v>44</v>
      </c>
    </row>
    <row r="465" spans="1:4" x14ac:dyDescent="0.2">
      <c r="A465" s="5">
        <f t="shared" si="35"/>
        <v>1.1575</v>
      </c>
      <c r="B465">
        <f t="shared" si="32"/>
        <v>28</v>
      </c>
      <c r="C465" s="3">
        <f t="shared" si="36"/>
        <v>42.125</v>
      </c>
      <c r="D465">
        <f t="shared" si="34"/>
        <v>44</v>
      </c>
    </row>
    <row r="466" spans="1:4" x14ac:dyDescent="0.2">
      <c r="A466" s="5">
        <f t="shared" si="35"/>
        <v>1.1599999999999999</v>
      </c>
      <c r="B466">
        <f t="shared" si="32"/>
        <v>29</v>
      </c>
      <c r="C466" s="3">
        <f t="shared" si="36"/>
        <v>42.000000000000007</v>
      </c>
      <c r="D466">
        <f t="shared" si="34"/>
        <v>42</v>
      </c>
    </row>
    <row r="467" spans="1:4" x14ac:dyDescent="0.2">
      <c r="A467" s="5">
        <f t="shared" si="35"/>
        <v>1.1625000000000001</v>
      </c>
      <c r="B467">
        <f t="shared" si="32"/>
        <v>29</v>
      </c>
      <c r="C467" s="3">
        <f t="shared" si="36"/>
        <v>41.874999999999993</v>
      </c>
      <c r="D467">
        <f t="shared" si="34"/>
        <v>42</v>
      </c>
    </row>
    <row r="468" spans="1:4" x14ac:dyDescent="0.2">
      <c r="A468" s="5">
        <f t="shared" si="35"/>
        <v>1.165</v>
      </c>
      <c r="B468">
        <f t="shared" ref="B468:B531" si="37">_xlfn.FLOOR.MATH(A468*25)</f>
        <v>29</v>
      </c>
      <c r="C468" s="3">
        <f t="shared" si="36"/>
        <v>41.75</v>
      </c>
      <c r="D468">
        <f t="shared" ref="D468:D531" si="38">100-B468*2</f>
        <v>42</v>
      </c>
    </row>
    <row r="469" spans="1:4" x14ac:dyDescent="0.2">
      <c r="A469" s="5">
        <f t="shared" si="35"/>
        <v>1.1675</v>
      </c>
      <c r="B469">
        <f t="shared" si="37"/>
        <v>29</v>
      </c>
      <c r="C469" s="3">
        <f t="shared" si="36"/>
        <v>41.625</v>
      </c>
      <c r="D469">
        <f t="shared" si="38"/>
        <v>42</v>
      </c>
    </row>
    <row r="470" spans="1:4" x14ac:dyDescent="0.2">
      <c r="A470" s="5">
        <f t="shared" si="35"/>
        <v>1.17</v>
      </c>
      <c r="B470">
        <f t="shared" si="37"/>
        <v>29</v>
      </c>
      <c r="C470" s="3">
        <f t="shared" si="36"/>
        <v>41.5</v>
      </c>
      <c r="D470">
        <f t="shared" si="38"/>
        <v>42</v>
      </c>
    </row>
    <row r="471" spans="1:4" x14ac:dyDescent="0.2">
      <c r="A471" s="5">
        <f t="shared" si="35"/>
        <v>1.1725000000000001</v>
      </c>
      <c r="B471">
        <f t="shared" si="37"/>
        <v>29</v>
      </c>
      <c r="C471" s="3">
        <f t="shared" si="36"/>
        <v>41.374999999999993</v>
      </c>
      <c r="D471">
        <f t="shared" si="38"/>
        <v>42</v>
      </c>
    </row>
    <row r="472" spans="1:4" x14ac:dyDescent="0.2">
      <c r="A472" s="5">
        <f t="shared" si="35"/>
        <v>1.175</v>
      </c>
      <c r="B472">
        <f t="shared" si="37"/>
        <v>29</v>
      </c>
      <c r="C472" s="3">
        <f t="shared" si="36"/>
        <v>41.25</v>
      </c>
      <c r="D472">
        <f t="shared" si="38"/>
        <v>42</v>
      </c>
    </row>
    <row r="473" spans="1:4" x14ac:dyDescent="0.2">
      <c r="A473" s="5">
        <f t="shared" si="35"/>
        <v>1.1775</v>
      </c>
      <c r="B473">
        <f t="shared" si="37"/>
        <v>29</v>
      </c>
      <c r="C473" s="3">
        <f t="shared" si="36"/>
        <v>41.125</v>
      </c>
      <c r="D473">
        <f t="shared" si="38"/>
        <v>42</v>
      </c>
    </row>
    <row r="474" spans="1:4" x14ac:dyDescent="0.2">
      <c r="A474" s="5">
        <f t="shared" si="35"/>
        <v>1.18</v>
      </c>
      <c r="B474">
        <f t="shared" si="37"/>
        <v>29</v>
      </c>
      <c r="C474" s="3">
        <f t="shared" si="36"/>
        <v>41</v>
      </c>
      <c r="D474">
        <f t="shared" si="38"/>
        <v>42</v>
      </c>
    </row>
    <row r="475" spans="1:4" x14ac:dyDescent="0.2">
      <c r="A475" s="5">
        <f t="shared" si="35"/>
        <v>1.1825000000000001</v>
      </c>
      <c r="B475">
        <f t="shared" si="37"/>
        <v>29</v>
      </c>
      <c r="C475" s="3">
        <f t="shared" si="36"/>
        <v>40.874999999999993</v>
      </c>
      <c r="D475">
        <f t="shared" si="38"/>
        <v>42</v>
      </c>
    </row>
    <row r="476" spans="1:4" x14ac:dyDescent="0.2">
      <c r="A476" s="5">
        <f t="shared" si="35"/>
        <v>1.1850000000000001</v>
      </c>
      <c r="B476">
        <f t="shared" si="37"/>
        <v>29</v>
      </c>
      <c r="C476" s="3">
        <f t="shared" si="36"/>
        <v>40.75</v>
      </c>
      <c r="D476">
        <f t="shared" si="38"/>
        <v>42</v>
      </c>
    </row>
    <row r="477" spans="1:4" x14ac:dyDescent="0.2">
      <c r="A477" s="5">
        <f t="shared" si="35"/>
        <v>1.1875</v>
      </c>
      <c r="B477">
        <f t="shared" si="37"/>
        <v>29</v>
      </c>
      <c r="C477" s="3">
        <f t="shared" si="36"/>
        <v>40.625</v>
      </c>
      <c r="D477">
        <f t="shared" si="38"/>
        <v>42</v>
      </c>
    </row>
    <row r="478" spans="1:4" x14ac:dyDescent="0.2">
      <c r="A478" s="5">
        <f t="shared" si="35"/>
        <v>1.19</v>
      </c>
      <c r="B478">
        <f t="shared" si="37"/>
        <v>29</v>
      </c>
      <c r="C478" s="3">
        <f t="shared" si="36"/>
        <v>40.5</v>
      </c>
      <c r="D478">
        <f t="shared" si="38"/>
        <v>42</v>
      </c>
    </row>
    <row r="479" spans="1:4" x14ac:dyDescent="0.2">
      <c r="A479" s="5">
        <f t="shared" si="35"/>
        <v>1.1924999999999999</v>
      </c>
      <c r="B479">
        <f t="shared" si="37"/>
        <v>29</v>
      </c>
      <c r="C479" s="3">
        <f t="shared" si="36"/>
        <v>40.375000000000007</v>
      </c>
      <c r="D479">
        <f t="shared" si="38"/>
        <v>42</v>
      </c>
    </row>
    <row r="480" spans="1:4" x14ac:dyDescent="0.2">
      <c r="A480" s="5">
        <f t="shared" si="35"/>
        <v>1.1950000000000001</v>
      </c>
      <c r="B480">
        <f t="shared" si="37"/>
        <v>29</v>
      </c>
      <c r="C480" s="3">
        <f t="shared" si="36"/>
        <v>40.25</v>
      </c>
      <c r="D480">
        <f t="shared" si="38"/>
        <v>42</v>
      </c>
    </row>
    <row r="481" spans="1:4" x14ac:dyDescent="0.2">
      <c r="A481" s="5">
        <f t="shared" si="35"/>
        <v>1.1975</v>
      </c>
      <c r="B481">
        <f t="shared" si="37"/>
        <v>29</v>
      </c>
      <c r="C481" s="3">
        <f t="shared" si="36"/>
        <v>40.125</v>
      </c>
      <c r="D481">
        <f t="shared" si="38"/>
        <v>42</v>
      </c>
    </row>
    <row r="482" spans="1:4" x14ac:dyDescent="0.2">
      <c r="A482" s="5">
        <f t="shared" si="35"/>
        <v>1.2</v>
      </c>
      <c r="B482">
        <f t="shared" si="37"/>
        <v>30</v>
      </c>
      <c r="C482" s="3">
        <f t="shared" si="36"/>
        <v>40</v>
      </c>
      <c r="D482">
        <f t="shared" si="38"/>
        <v>40</v>
      </c>
    </row>
    <row r="483" spans="1:4" x14ac:dyDescent="0.2">
      <c r="A483" s="5">
        <f t="shared" si="35"/>
        <v>1.2024999999999999</v>
      </c>
      <c r="B483">
        <f t="shared" si="37"/>
        <v>30</v>
      </c>
      <c r="C483" s="3">
        <f t="shared" si="36"/>
        <v>39.875000000000007</v>
      </c>
      <c r="D483">
        <f t="shared" si="38"/>
        <v>40</v>
      </c>
    </row>
    <row r="484" spans="1:4" x14ac:dyDescent="0.2">
      <c r="A484" s="5">
        <f t="shared" si="35"/>
        <v>1.2050000000000001</v>
      </c>
      <c r="B484">
        <f t="shared" si="37"/>
        <v>30</v>
      </c>
      <c r="C484" s="3">
        <f t="shared" si="36"/>
        <v>39.75</v>
      </c>
      <c r="D484">
        <f t="shared" si="38"/>
        <v>40</v>
      </c>
    </row>
    <row r="485" spans="1:4" x14ac:dyDescent="0.2">
      <c r="A485" s="5">
        <f t="shared" si="35"/>
        <v>1.2075</v>
      </c>
      <c r="B485">
        <f t="shared" si="37"/>
        <v>30</v>
      </c>
      <c r="C485" s="3">
        <f t="shared" si="36"/>
        <v>39.625</v>
      </c>
      <c r="D485">
        <f t="shared" si="38"/>
        <v>40</v>
      </c>
    </row>
    <row r="486" spans="1:4" x14ac:dyDescent="0.2">
      <c r="A486" s="5">
        <f t="shared" si="35"/>
        <v>1.21</v>
      </c>
      <c r="B486">
        <f t="shared" si="37"/>
        <v>30</v>
      </c>
      <c r="C486" s="3">
        <f t="shared" si="36"/>
        <v>39.5</v>
      </c>
      <c r="D486">
        <f t="shared" si="38"/>
        <v>40</v>
      </c>
    </row>
    <row r="487" spans="1:4" x14ac:dyDescent="0.2">
      <c r="A487" s="5">
        <f t="shared" si="35"/>
        <v>1.2124999999999999</v>
      </c>
      <c r="B487">
        <f t="shared" si="37"/>
        <v>30</v>
      </c>
      <c r="C487" s="3">
        <f t="shared" si="36"/>
        <v>39.375000000000007</v>
      </c>
      <c r="D487">
        <f t="shared" si="38"/>
        <v>40</v>
      </c>
    </row>
    <row r="488" spans="1:4" x14ac:dyDescent="0.2">
      <c r="A488" s="5">
        <f t="shared" si="35"/>
        <v>1.2150000000000001</v>
      </c>
      <c r="B488">
        <f t="shared" si="37"/>
        <v>30</v>
      </c>
      <c r="C488" s="3">
        <f t="shared" si="36"/>
        <v>39.249999999999993</v>
      </c>
      <c r="D488">
        <f t="shared" si="38"/>
        <v>40</v>
      </c>
    </row>
    <row r="489" spans="1:4" x14ac:dyDescent="0.2">
      <c r="A489" s="5">
        <f t="shared" si="35"/>
        <v>1.2175</v>
      </c>
      <c r="B489">
        <f t="shared" si="37"/>
        <v>30</v>
      </c>
      <c r="C489" s="3">
        <f t="shared" si="36"/>
        <v>39.125</v>
      </c>
      <c r="D489">
        <f t="shared" si="38"/>
        <v>40</v>
      </c>
    </row>
    <row r="490" spans="1:4" x14ac:dyDescent="0.2">
      <c r="A490" s="5">
        <f t="shared" si="35"/>
        <v>1.22</v>
      </c>
      <c r="B490">
        <f t="shared" si="37"/>
        <v>30</v>
      </c>
      <c r="C490" s="3">
        <f t="shared" si="36"/>
        <v>39</v>
      </c>
      <c r="D490">
        <f t="shared" si="38"/>
        <v>40</v>
      </c>
    </row>
    <row r="491" spans="1:4" x14ac:dyDescent="0.2">
      <c r="A491" s="5">
        <f t="shared" si="35"/>
        <v>1.2224999999999999</v>
      </c>
      <c r="B491">
        <f t="shared" si="37"/>
        <v>30</v>
      </c>
      <c r="C491" s="3">
        <f t="shared" si="36"/>
        <v>38.875000000000007</v>
      </c>
      <c r="D491">
        <f t="shared" si="38"/>
        <v>40</v>
      </c>
    </row>
    <row r="492" spans="1:4" x14ac:dyDescent="0.2">
      <c r="A492" s="5">
        <f t="shared" si="35"/>
        <v>1.2250000000000001</v>
      </c>
      <c r="B492">
        <f t="shared" si="37"/>
        <v>30</v>
      </c>
      <c r="C492" s="3">
        <f t="shared" si="36"/>
        <v>38.749999999999993</v>
      </c>
      <c r="D492">
        <f t="shared" si="38"/>
        <v>40</v>
      </c>
    </row>
    <row r="493" spans="1:4" x14ac:dyDescent="0.2">
      <c r="A493" s="5">
        <f t="shared" si="35"/>
        <v>1.2275</v>
      </c>
      <c r="B493">
        <f t="shared" si="37"/>
        <v>30</v>
      </c>
      <c r="C493" s="3">
        <f t="shared" si="36"/>
        <v>38.625</v>
      </c>
      <c r="D493">
        <f t="shared" si="38"/>
        <v>40</v>
      </c>
    </row>
    <row r="494" spans="1:4" x14ac:dyDescent="0.2">
      <c r="A494" s="5">
        <f t="shared" si="35"/>
        <v>1.23</v>
      </c>
      <c r="B494">
        <f t="shared" si="37"/>
        <v>30</v>
      </c>
      <c r="C494" s="3">
        <f t="shared" si="36"/>
        <v>38.5</v>
      </c>
      <c r="D494">
        <f t="shared" si="38"/>
        <v>40</v>
      </c>
    </row>
    <row r="495" spans="1:4" x14ac:dyDescent="0.2">
      <c r="A495" s="5">
        <f t="shared" si="35"/>
        <v>1.2324999999999999</v>
      </c>
      <c r="B495">
        <f t="shared" si="37"/>
        <v>30</v>
      </c>
      <c r="C495" s="3">
        <f t="shared" si="36"/>
        <v>38.375</v>
      </c>
      <c r="D495">
        <f t="shared" si="38"/>
        <v>40</v>
      </c>
    </row>
    <row r="496" spans="1:4" x14ac:dyDescent="0.2">
      <c r="A496" s="5">
        <f t="shared" si="35"/>
        <v>1.2350000000000001</v>
      </c>
      <c r="B496">
        <f t="shared" si="37"/>
        <v>30</v>
      </c>
      <c r="C496" s="3">
        <f t="shared" si="36"/>
        <v>38.249999999999993</v>
      </c>
      <c r="D496">
        <f t="shared" si="38"/>
        <v>40</v>
      </c>
    </row>
    <row r="497" spans="1:4" x14ac:dyDescent="0.2">
      <c r="A497" s="5">
        <f t="shared" si="35"/>
        <v>1.2375</v>
      </c>
      <c r="B497">
        <f t="shared" si="37"/>
        <v>30</v>
      </c>
      <c r="C497" s="3">
        <f t="shared" si="36"/>
        <v>38.125</v>
      </c>
      <c r="D497">
        <f t="shared" si="38"/>
        <v>40</v>
      </c>
    </row>
    <row r="498" spans="1:4" x14ac:dyDescent="0.2">
      <c r="A498" s="5">
        <f t="shared" si="35"/>
        <v>1.24</v>
      </c>
      <c r="B498">
        <f t="shared" si="37"/>
        <v>31</v>
      </c>
      <c r="C498" s="3">
        <f t="shared" si="36"/>
        <v>38</v>
      </c>
      <c r="D498">
        <f t="shared" si="38"/>
        <v>38</v>
      </c>
    </row>
    <row r="499" spans="1:4" x14ac:dyDescent="0.2">
      <c r="A499" s="5">
        <f t="shared" si="35"/>
        <v>1.2424999999999999</v>
      </c>
      <c r="B499">
        <f t="shared" si="37"/>
        <v>31</v>
      </c>
      <c r="C499" s="3">
        <f t="shared" si="36"/>
        <v>37.875</v>
      </c>
      <c r="D499">
        <f t="shared" si="38"/>
        <v>38</v>
      </c>
    </row>
    <row r="500" spans="1:4" x14ac:dyDescent="0.2">
      <c r="A500" s="5">
        <f t="shared" si="35"/>
        <v>1.2450000000000001</v>
      </c>
      <c r="B500">
        <f t="shared" si="37"/>
        <v>31</v>
      </c>
      <c r="C500" s="3">
        <f t="shared" si="36"/>
        <v>37.749999999999993</v>
      </c>
      <c r="D500">
        <f t="shared" si="38"/>
        <v>38</v>
      </c>
    </row>
    <row r="501" spans="1:4" x14ac:dyDescent="0.2">
      <c r="A501" s="5">
        <f t="shared" si="35"/>
        <v>1.2475000000000001</v>
      </c>
      <c r="B501">
        <f t="shared" si="37"/>
        <v>31</v>
      </c>
      <c r="C501" s="3">
        <f t="shared" si="36"/>
        <v>37.625</v>
      </c>
      <c r="D501">
        <f t="shared" si="38"/>
        <v>38</v>
      </c>
    </row>
    <row r="502" spans="1:4" x14ac:dyDescent="0.2">
      <c r="A502" s="5">
        <f t="shared" si="35"/>
        <v>1.25</v>
      </c>
      <c r="B502">
        <f t="shared" si="37"/>
        <v>31</v>
      </c>
      <c r="C502" s="3">
        <f t="shared" si="36"/>
        <v>37.5</v>
      </c>
      <c r="D502">
        <f t="shared" si="38"/>
        <v>38</v>
      </c>
    </row>
    <row r="503" spans="1:4" x14ac:dyDescent="0.2">
      <c r="A503" s="5">
        <f t="shared" si="35"/>
        <v>1.2524999999999999</v>
      </c>
      <c r="B503">
        <f t="shared" si="37"/>
        <v>31</v>
      </c>
      <c r="C503" s="3">
        <f t="shared" si="36"/>
        <v>37.375</v>
      </c>
      <c r="D503">
        <f t="shared" si="38"/>
        <v>38</v>
      </c>
    </row>
    <row r="504" spans="1:4" x14ac:dyDescent="0.2">
      <c r="A504" s="5">
        <f t="shared" si="35"/>
        <v>1.2549999999999999</v>
      </c>
      <c r="B504">
        <f t="shared" si="37"/>
        <v>31</v>
      </c>
      <c r="C504" s="3">
        <f t="shared" si="36"/>
        <v>37.250000000000007</v>
      </c>
      <c r="D504">
        <f t="shared" si="38"/>
        <v>38</v>
      </c>
    </row>
    <row r="505" spans="1:4" x14ac:dyDescent="0.2">
      <c r="A505" s="5">
        <f t="shared" si="35"/>
        <v>1.2575000000000001</v>
      </c>
      <c r="B505">
        <f t="shared" si="37"/>
        <v>31</v>
      </c>
      <c r="C505" s="3">
        <f t="shared" si="36"/>
        <v>37.125</v>
      </c>
      <c r="D505">
        <f t="shared" si="38"/>
        <v>38</v>
      </c>
    </row>
    <row r="506" spans="1:4" x14ac:dyDescent="0.2">
      <c r="A506" s="5">
        <f t="shared" si="35"/>
        <v>1.26</v>
      </c>
      <c r="B506">
        <f t="shared" si="37"/>
        <v>31</v>
      </c>
      <c r="C506" s="3">
        <f t="shared" si="36"/>
        <v>37</v>
      </c>
      <c r="D506">
        <f t="shared" si="38"/>
        <v>38</v>
      </c>
    </row>
    <row r="507" spans="1:4" x14ac:dyDescent="0.2">
      <c r="A507" s="5">
        <f t="shared" si="35"/>
        <v>1.2625</v>
      </c>
      <c r="B507">
        <f t="shared" si="37"/>
        <v>31</v>
      </c>
      <c r="C507" s="3">
        <f t="shared" si="36"/>
        <v>36.875</v>
      </c>
      <c r="D507">
        <f t="shared" si="38"/>
        <v>38</v>
      </c>
    </row>
    <row r="508" spans="1:4" x14ac:dyDescent="0.2">
      <c r="A508" s="5">
        <f t="shared" si="35"/>
        <v>1.2649999999999999</v>
      </c>
      <c r="B508">
        <f t="shared" si="37"/>
        <v>31</v>
      </c>
      <c r="C508" s="3">
        <f t="shared" si="36"/>
        <v>36.750000000000007</v>
      </c>
      <c r="D508">
        <f t="shared" si="38"/>
        <v>38</v>
      </c>
    </row>
    <row r="509" spans="1:4" x14ac:dyDescent="0.2">
      <c r="A509" s="5">
        <f t="shared" si="35"/>
        <v>1.2675000000000001</v>
      </c>
      <c r="B509">
        <f t="shared" si="37"/>
        <v>31</v>
      </c>
      <c r="C509" s="3">
        <f t="shared" si="36"/>
        <v>36.625</v>
      </c>
      <c r="D509">
        <f t="shared" si="38"/>
        <v>38</v>
      </c>
    </row>
    <row r="510" spans="1:4" x14ac:dyDescent="0.2">
      <c r="A510" s="5">
        <f t="shared" si="35"/>
        <v>1.27</v>
      </c>
      <c r="B510">
        <f t="shared" si="37"/>
        <v>31</v>
      </c>
      <c r="C510" s="3">
        <f t="shared" si="36"/>
        <v>36.5</v>
      </c>
      <c r="D510">
        <f t="shared" si="38"/>
        <v>38</v>
      </c>
    </row>
    <row r="511" spans="1:4" x14ac:dyDescent="0.2">
      <c r="A511" s="5">
        <f t="shared" si="35"/>
        <v>1.2725</v>
      </c>
      <c r="B511">
        <f t="shared" si="37"/>
        <v>31</v>
      </c>
      <c r="C511" s="3">
        <f t="shared" si="36"/>
        <v>36.375</v>
      </c>
      <c r="D511">
        <f t="shared" si="38"/>
        <v>38</v>
      </c>
    </row>
    <row r="512" spans="1:4" x14ac:dyDescent="0.2">
      <c r="A512" s="5">
        <f t="shared" si="35"/>
        <v>1.2749999999999999</v>
      </c>
      <c r="B512">
        <f t="shared" si="37"/>
        <v>31</v>
      </c>
      <c r="C512" s="3">
        <f t="shared" si="36"/>
        <v>36.250000000000007</v>
      </c>
      <c r="D512">
        <f t="shared" si="38"/>
        <v>38</v>
      </c>
    </row>
    <row r="513" spans="1:4" x14ac:dyDescent="0.2">
      <c r="A513" s="5">
        <f t="shared" si="35"/>
        <v>1.2775000000000001</v>
      </c>
      <c r="B513">
        <f t="shared" si="37"/>
        <v>31</v>
      </c>
      <c r="C513" s="3">
        <f t="shared" si="36"/>
        <v>36.124999999999993</v>
      </c>
      <c r="D513">
        <f t="shared" si="38"/>
        <v>38</v>
      </c>
    </row>
    <row r="514" spans="1:4" x14ac:dyDescent="0.2">
      <c r="A514" s="5">
        <f t="shared" si="35"/>
        <v>1.28</v>
      </c>
      <c r="B514">
        <f t="shared" si="37"/>
        <v>32</v>
      </c>
      <c r="C514" s="3">
        <f t="shared" si="36"/>
        <v>36</v>
      </c>
      <c r="D514">
        <f t="shared" si="38"/>
        <v>36</v>
      </c>
    </row>
    <row r="515" spans="1:4" x14ac:dyDescent="0.2">
      <c r="A515" s="5">
        <f t="shared" ref="A515:A578" si="39">(ROW()-2)/400</f>
        <v>1.2825</v>
      </c>
      <c r="B515">
        <f t="shared" si="37"/>
        <v>32</v>
      </c>
      <c r="C515" s="3">
        <f t="shared" si="36"/>
        <v>35.875</v>
      </c>
      <c r="D515">
        <f t="shared" si="38"/>
        <v>36</v>
      </c>
    </row>
    <row r="516" spans="1:4" x14ac:dyDescent="0.2">
      <c r="A516" s="5">
        <f t="shared" si="39"/>
        <v>1.2849999999999999</v>
      </c>
      <c r="B516">
        <f t="shared" si="37"/>
        <v>32</v>
      </c>
      <c r="C516" s="3">
        <f t="shared" si="36"/>
        <v>35.75</v>
      </c>
      <c r="D516">
        <f t="shared" si="38"/>
        <v>36</v>
      </c>
    </row>
    <row r="517" spans="1:4" x14ac:dyDescent="0.2">
      <c r="A517" s="5">
        <f t="shared" si="39"/>
        <v>1.2875000000000001</v>
      </c>
      <c r="B517">
        <f t="shared" si="37"/>
        <v>32</v>
      </c>
      <c r="C517" s="3">
        <f t="shared" si="36"/>
        <v>35.625</v>
      </c>
      <c r="D517">
        <f t="shared" si="38"/>
        <v>36</v>
      </c>
    </row>
    <row r="518" spans="1:4" x14ac:dyDescent="0.2">
      <c r="A518" s="5">
        <f t="shared" si="39"/>
        <v>1.29</v>
      </c>
      <c r="B518">
        <f t="shared" si="37"/>
        <v>32</v>
      </c>
      <c r="C518" s="3">
        <f t="shared" ref="C518:C535" si="40">100-(A518/2*100)</f>
        <v>35.5</v>
      </c>
      <c r="D518">
        <f t="shared" si="38"/>
        <v>36</v>
      </c>
    </row>
    <row r="519" spans="1:4" x14ac:dyDescent="0.2">
      <c r="A519" s="5">
        <f t="shared" si="39"/>
        <v>1.2925</v>
      </c>
      <c r="B519">
        <f t="shared" si="37"/>
        <v>32</v>
      </c>
      <c r="C519" s="3">
        <f t="shared" si="40"/>
        <v>35.375</v>
      </c>
      <c r="D519">
        <f t="shared" si="38"/>
        <v>36</v>
      </c>
    </row>
    <row r="520" spans="1:4" x14ac:dyDescent="0.2">
      <c r="A520" s="5">
        <f t="shared" si="39"/>
        <v>1.2949999999999999</v>
      </c>
      <c r="B520">
        <f t="shared" si="37"/>
        <v>32</v>
      </c>
      <c r="C520" s="3">
        <f t="shared" si="40"/>
        <v>35.25</v>
      </c>
      <c r="D520">
        <f t="shared" si="38"/>
        <v>36</v>
      </c>
    </row>
    <row r="521" spans="1:4" x14ac:dyDescent="0.2">
      <c r="A521" s="5">
        <f t="shared" si="39"/>
        <v>1.2975000000000001</v>
      </c>
      <c r="B521">
        <f t="shared" si="37"/>
        <v>32</v>
      </c>
      <c r="C521" s="3">
        <f t="shared" si="40"/>
        <v>35.125</v>
      </c>
      <c r="D521">
        <f t="shared" si="38"/>
        <v>36</v>
      </c>
    </row>
    <row r="522" spans="1:4" x14ac:dyDescent="0.2">
      <c r="A522" s="5">
        <f t="shared" si="39"/>
        <v>1.3</v>
      </c>
      <c r="B522">
        <f t="shared" si="37"/>
        <v>32</v>
      </c>
      <c r="C522" s="3">
        <f t="shared" si="40"/>
        <v>35</v>
      </c>
      <c r="D522">
        <f t="shared" si="38"/>
        <v>36</v>
      </c>
    </row>
    <row r="523" spans="1:4" x14ac:dyDescent="0.2">
      <c r="A523" s="5">
        <f t="shared" si="39"/>
        <v>1.3025</v>
      </c>
      <c r="B523">
        <f t="shared" si="37"/>
        <v>32</v>
      </c>
      <c r="C523" s="3">
        <f t="shared" si="40"/>
        <v>34.875</v>
      </c>
      <c r="D523">
        <f t="shared" si="38"/>
        <v>36</v>
      </c>
    </row>
    <row r="524" spans="1:4" x14ac:dyDescent="0.2">
      <c r="A524" s="5">
        <f t="shared" si="39"/>
        <v>1.3049999999999999</v>
      </c>
      <c r="B524">
        <f t="shared" si="37"/>
        <v>32</v>
      </c>
      <c r="C524" s="3">
        <f t="shared" si="40"/>
        <v>34.75</v>
      </c>
      <c r="D524">
        <f t="shared" si="38"/>
        <v>36</v>
      </c>
    </row>
    <row r="525" spans="1:4" x14ac:dyDescent="0.2">
      <c r="A525" s="5">
        <f t="shared" si="39"/>
        <v>1.3075000000000001</v>
      </c>
      <c r="B525">
        <f t="shared" si="37"/>
        <v>32</v>
      </c>
      <c r="C525" s="3">
        <f t="shared" si="40"/>
        <v>34.625</v>
      </c>
      <c r="D525">
        <f t="shared" si="38"/>
        <v>36</v>
      </c>
    </row>
    <row r="526" spans="1:4" x14ac:dyDescent="0.2">
      <c r="A526" s="5">
        <f t="shared" si="39"/>
        <v>1.31</v>
      </c>
      <c r="B526">
        <f t="shared" si="37"/>
        <v>32</v>
      </c>
      <c r="C526" s="3">
        <f t="shared" si="40"/>
        <v>34.5</v>
      </c>
      <c r="D526">
        <f t="shared" si="38"/>
        <v>36</v>
      </c>
    </row>
    <row r="527" spans="1:4" x14ac:dyDescent="0.2">
      <c r="A527" s="5">
        <f t="shared" si="39"/>
        <v>1.3125</v>
      </c>
      <c r="B527">
        <f t="shared" si="37"/>
        <v>32</v>
      </c>
      <c r="C527" s="3">
        <f t="shared" si="40"/>
        <v>34.375</v>
      </c>
      <c r="D527">
        <f t="shared" si="38"/>
        <v>36</v>
      </c>
    </row>
    <row r="528" spans="1:4" x14ac:dyDescent="0.2">
      <c r="A528" s="5">
        <f t="shared" si="39"/>
        <v>1.3149999999999999</v>
      </c>
      <c r="B528">
        <f t="shared" si="37"/>
        <v>32</v>
      </c>
      <c r="C528" s="3">
        <f t="shared" si="40"/>
        <v>34.25</v>
      </c>
      <c r="D528">
        <f t="shared" si="38"/>
        <v>36</v>
      </c>
    </row>
    <row r="529" spans="1:4" x14ac:dyDescent="0.2">
      <c r="A529" s="5">
        <f t="shared" si="39"/>
        <v>1.3174999999999999</v>
      </c>
      <c r="B529">
        <f t="shared" si="37"/>
        <v>32</v>
      </c>
      <c r="C529" s="3">
        <f t="shared" si="40"/>
        <v>34.125</v>
      </c>
      <c r="D529">
        <f t="shared" si="38"/>
        <v>36</v>
      </c>
    </row>
    <row r="530" spans="1:4" x14ac:dyDescent="0.2">
      <c r="A530" s="5">
        <f t="shared" si="39"/>
        <v>1.32</v>
      </c>
      <c r="B530">
        <f t="shared" si="37"/>
        <v>33</v>
      </c>
      <c r="C530" s="3">
        <f t="shared" si="40"/>
        <v>34</v>
      </c>
      <c r="D530">
        <f t="shared" si="38"/>
        <v>34</v>
      </c>
    </row>
    <row r="531" spans="1:4" x14ac:dyDescent="0.2">
      <c r="A531" s="5">
        <f t="shared" si="39"/>
        <v>1.3225</v>
      </c>
      <c r="B531">
        <f t="shared" si="37"/>
        <v>33</v>
      </c>
      <c r="C531" s="3">
        <f t="shared" si="40"/>
        <v>33.875</v>
      </c>
      <c r="D531">
        <f t="shared" si="38"/>
        <v>34</v>
      </c>
    </row>
    <row r="532" spans="1:4" x14ac:dyDescent="0.2">
      <c r="A532" s="5">
        <f t="shared" si="39"/>
        <v>1.325</v>
      </c>
      <c r="B532">
        <f t="shared" ref="B532:B595" si="41">_xlfn.FLOOR.MATH(A532*25)</f>
        <v>33</v>
      </c>
      <c r="C532" s="3">
        <f t="shared" si="40"/>
        <v>33.75</v>
      </c>
      <c r="D532">
        <f t="shared" ref="D532:D595" si="42">100-B532*2</f>
        <v>34</v>
      </c>
    </row>
    <row r="533" spans="1:4" x14ac:dyDescent="0.2">
      <c r="A533" s="5">
        <f t="shared" si="39"/>
        <v>1.3274999999999999</v>
      </c>
      <c r="B533">
        <f t="shared" si="41"/>
        <v>33</v>
      </c>
      <c r="C533" s="3">
        <f t="shared" si="40"/>
        <v>33.625</v>
      </c>
      <c r="D533">
        <f t="shared" si="42"/>
        <v>34</v>
      </c>
    </row>
    <row r="534" spans="1:4" x14ac:dyDescent="0.2">
      <c r="A534" s="5">
        <f t="shared" si="39"/>
        <v>1.33</v>
      </c>
      <c r="B534">
        <f t="shared" si="41"/>
        <v>33</v>
      </c>
      <c r="C534" s="3">
        <f t="shared" si="40"/>
        <v>33.5</v>
      </c>
      <c r="D534">
        <f t="shared" si="42"/>
        <v>34</v>
      </c>
    </row>
    <row r="535" spans="1:4" x14ac:dyDescent="0.2">
      <c r="A535" s="5">
        <f t="shared" si="39"/>
        <v>1.3325</v>
      </c>
      <c r="B535">
        <f t="shared" si="41"/>
        <v>33</v>
      </c>
      <c r="C535" s="3">
        <f t="shared" si="40"/>
        <v>33.375</v>
      </c>
      <c r="D535">
        <f t="shared" si="42"/>
        <v>34</v>
      </c>
    </row>
    <row r="536" spans="1:4" x14ac:dyDescent="0.2">
      <c r="A536" s="5">
        <f t="shared" si="39"/>
        <v>1.335</v>
      </c>
      <c r="B536">
        <f t="shared" si="41"/>
        <v>33</v>
      </c>
      <c r="C536" s="3">
        <f>100-(A536/2*100)</f>
        <v>33.25</v>
      </c>
      <c r="D536">
        <f t="shared" si="42"/>
        <v>34</v>
      </c>
    </row>
    <row r="537" spans="1:4" x14ac:dyDescent="0.2">
      <c r="A537" s="5">
        <f t="shared" si="39"/>
        <v>1.3374999999999999</v>
      </c>
      <c r="B537">
        <f t="shared" si="41"/>
        <v>33</v>
      </c>
      <c r="C537" s="3">
        <f t="shared" ref="C537:C561" si="43">100-(A537/2*100)</f>
        <v>33.125</v>
      </c>
      <c r="D537">
        <f t="shared" si="42"/>
        <v>34</v>
      </c>
    </row>
    <row r="538" spans="1:4" x14ac:dyDescent="0.2">
      <c r="A538" s="5">
        <f t="shared" si="39"/>
        <v>1.34</v>
      </c>
      <c r="B538">
        <f t="shared" si="41"/>
        <v>33</v>
      </c>
      <c r="C538" s="3">
        <f t="shared" si="43"/>
        <v>33</v>
      </c>
      <c r="D538">
        <f t="shared" si="42"/>
        <v>34</v>
      </c>
    </row>
    <row r="539" spans="1:4" x14ac:dyDescent="0.2">
      <c r="A539" s="5">
        <f t="shared" si="39"/>
        <v>1.3425</v>
      </c>
      <c r="B539">
        <f t="shared" si="41"/>
        <v>33</v>
      </c>
      <c r="C539" s="3">
        <f t="shared" si="43"/>
        <v>32.875</v>
      </c>
      <c r="D539">
        <f t="shared" si="42"/>
        <v>34</v>
      </c>
    </row>
    <row r="540" spans="1:4" x14ac:dyDescent="0.2">
      <c r="A540" s="5">
        <f t="shared" si="39"/>
        <v>1.345</v>
      </c>
      <c r="B540">
        <f t="shared" si="41"/>
        <v>33</v>
      </c>
      <c r="C540" s="3">
        <f t="shared" si="43"/>
        <v>32.75</v>
      </c>
      <c r="D540">
        <f t="shared" si="42"/>
        <v>34</v>
      </c>
    </row>
    <row r="541" spans="1:4" x14ac:dyDescent="0.2">
      <c r="A541" s="5">
        <f t="shared" si="39"/>
        <v>1.3474999999999999</v>
      </c>
      <c r="B541">
        <f t="shared" si="41"/>
        <v>33</v>
      </c>
      <c r="C541" s="3">
        <f t="shared" si="43"/>
        <v>32.625</v>
      </c>
      <c r="D541">
        <f t="shared" si="42"/>
        <v>34</v>
      </c>
    </row>
    <row r="542" spans="1:4" x14ac:dyDescent="0.2">
      <c r="A542" s="5">
        <f t="shared" si="39"/>
        <v>1.35</v>
      </c>
      <c r="B542">
        <f t="shared" si="41"/>
        <v>33</v>
      </c>
      <c r="C542" s="3">
        <f t="shared" si="43"/>
        <v>32.5</v>
      </c>
      <c r="D542">
        <f t="shared" si="42"/>
        <v>34</v>
      </c>
    </row>
    <row r="543" spans="1:4" x14ac:dyDescent="0.2">
      <c r="A543" s="5">
        <f t="shared" si="39"/>
        <v>1.3525</v>
      </c>
      <c r="B543">
        <f t="shared" si="41"/>
        <v>33</v>
      </c>
      <c r="C543" s="3">
        <f t="shared" si="43"/>
        <v>32.375</v>
      </c>
      <c r="D543">
        <f t="shared" si="42"/>
        <v>34</v>
      </c>
    </row>
    <row r="544" spans="1:4" x14ac:dyDescent="0.2">
      <c r="A544" s="5">
        <f t="shared" si="39"/>
        <v>1.355</v>
      </c>
      <c r="B544">
        <f t="shared" si="41"/>
        <v>33</v>
      </c>
      <c r="C544" s="3">
        <f t="shared" si="43"/>
        <v>32.25</v>
      </c>
      <c r="D544">
        <f t="shared" si="42"/>
        <v>34</v>
      </c>
    </row>
    <row r="545" spans="1:4" x14ac:dyDescent="0.2">
      <c r="A545" s="5">
        <f t="shared" si="39"/>
        <v>1.3574999999999999</v>
      </c>
      <c r="B545">
        <f t="shared" si="41"/>
        <v>33</v>
      </c>
      <c r="C545" s="3">
        <f t="shared" si="43"/>
        <v>32.125</v>
      </c>
      <c r="D545">
        <f t="shared" si="42"/>
        <v>34</v>
      </c>
    </row>
    <row r="546" spans="1:4" x14ac:dyDescent="0.2">
      <c r="A546" s="5">
        <f t="shared" si="39"/>
        <v>1.36</v>
      </c>
      <c r="B546">
        <f t="shared" si="41"/>
        <v>34</v>
      </c>
      <c r="C546" s="3">
        <f t="shared" si="43"/>
        <v>32</v>
      </c>
      <c r="D546">
        <f t="shared" si="42"/>
        <v>32</v>
      </c>
    </row>
    <row r="547" spans="1:4" x14ac:dyDescent="0.2">
      <c r="A547" s="5">
        <f t="shared" si="39"/>
        <v>1.3625</v>
      </c>
      <c r="B547">
        <f t="shared" si="41"/>
        <v>34</v>
      </c>
      <c r="C547" s="3">
        <f t="shared" si="43"/>
        <v>31.875</v>
      </c>
      <c r="D547">
        <f t="shared" si="42"/>
        <v>32</v>
      </c>
    </row>
    <row r="548" spans="1:4" x14ac:dyDescent="0.2">
      <c r="A548" s="5">
        <f t="shared" si="39"/>
        <v>1.365</v>
      </c>
      <c r="B548">
        <f t="shared" si="41"/>
        <v>34</v>
      </c>
      <c r="C548" s="3">
        <f t="shared" si="43"/>
        <v>31.75</v>
      </c>
      <c r="D548">
        <f t="shared" si="42"/>
        <v>32</v>
      </c>
    </row>
    <row r="549" spans="1:4" x14ac:dyDescent="0.2">
      <c r="A549" s="5">
        <f t="shared" si="39"/>
        <v>1.3674999999999999</v>
      </c>
      <c r="B549">
        <f t="shared" si="41"/>
        <v>34</v>
      </c>
      <c r="C549" s="3">
        <f t="shared" si="43"/>
        <v>31.625</v>
      </c>
      <c r="D549">
        <f t="shared" si="42"/>
        <v>32</v>
      </c>
    </row>
    <row r="550" spans="1:4" x14ac:dyDescent="0.2">
      <c r="A550" s="5">
        <f t="shared" si="39"/>
        <v>1.37</v>
      </c>
      <c r="B550">
        <f t="shared" si="41"/>
        <v>34</v>
      </c>
      <c r="C550" s="3">
        <f t="shared" si="43"/>
        <v>31.5</v>
      </c>
      <c r="D550">
        <f t="shared" si="42"/>
        <v>32</v>
      </c>
    </row>
    <row r="551" spans="1:4" x14ac:dyDescent="0.2">
      <c r="A551" s="5">
        <f t="shared" si="39"/>
        <v>1.3725000000000001</v>
      </c>
      <c r="B551">
        <f t="shared" si="41"/>
        <v>34</v>
      </c>
      <c r="C551" s="3">
        <f t="shared" si="43"/>
        <v>31.375</v>
      </c>
      <c r="D551">
        <f t="shared" si="42"/>
        <v>32</v>
      </c>
    </row>
    <row r="552" spans="1:4" x14ac:dyDescent="0.2">
      <c r="A552" s="5">
        <f t="shared" si="39"/>
        <v>1.375</v>
      </c>
      <c r="B552">
        <f t="shared" si="41"/>
        <v>34</v>
      </c>
      <c r="C552" s="3">
        <f t="shared" si="43"/>
        <v>31.25</v>
      </c>
      <c r="D552">
        <f t="shared" si="42"/>
        <v>32</v>
      </c>
    </row>
    <row r="553" spans="1:4" x14ac:dyDescent="0.2">
      <c r="A553" s="5">
        <f t="shared" si="39"/>
        <v>1.3774999999999999</v>
      </c>
      <c r="B553">
        <f t="shared" si="41"/>
        <v>34</v>
      </c>
      <c r="C553" s="3">
        <f t="shared" si="43"/>
        <v>31.125</v>
      </c>
      <c r="D553">
        <f t="shared" si="42"/>
        <v>32</v>
      </c>
    </row>
    <row r="554" spans="1:4" x14ac:dyDescent="0.2">
      <c r="A554" s="5">
        <f t="shared" si="39"/>
        <v>1.38</v>
      </c>
      <c r="B554">
        <f t="shared" si="41"/>
        <v>34</v>
      </c>
      <c r="C554" s="3">
        <f t="shared" si="43"/>
        <v>31</v>
      </c>
      <c r="D554">
        <f t="shared" si="42"/>
        <v>32</v>
      </c>
    </row>
    <row r="555" spans="1:4" x14ac:dyDescent="0.2">
      <c r="A555" s="5">
        <f t="shared" si="39"/>
        <v>1.3825000000000001</v>
      </c>
      <c r="B555">
        <f t="shared" si="41"/>
        <v>34</v>
      </c>
      <c r="C555" s="3">
        <f t="shared" si="43"/>
        <v>30.875</v>
      </c>
      <c r="D555">
        <f t="shared" si="42"/>
        <v>32</v>
      </c>
    </row>
    <row r="556" spans="1:4" x14ac:dyDescent="0.2">
      <c r="A556" s="5">
        <f t="shared" si="39"/>
        <v>1.385</v>
      </c>
      <c r="B556">
        <f t="shared" si="41"/>
        <v>34</v>
      </c>
      <c r="C556" s="3">
        <f t="shared" si="43"/>
        <v>30.75</v>
      </c>
      <c r="D556">
        <f t="shared" si="42"/>
        <v>32</v>
      </c>
    </row>
    <row r="557" spans="1:4" x14ac:dyDescent="0.2">
      <c r="A557" s="5">
        <f t="shared" si="39"/>
        <v>1.3875</v>
      </c>
      <c r="B557">
        <f t="shared" si="41"/>
        <v>34</v>
      </c>
      <c r="C557" s="3">
        <f t="shared" si="43"/>
        <v>30.625</v>
      </c>
      <c r="D557">
        <f t="shared" si="42"/>
        <v>32</v>
      </c>
    </row>
    <row r="558" spans="1:4" x14ac:dyDescent="0.2">
      <c r="A558" s="5">
        <f t="shared" si="39"/>
        <v>1.39</v>
      </c>
      <c r="B558">
        <f t="shared" si="41"/>
        <v>34</v>
      </c>
      <c r="C558" s="3">
        <f t="shared" si="43"/>
        <v>30.5</v>
      </c>
      <c r="D558">
        <f t="shared" si="42"/>
        <v>32</v>
      </c>
    </row>
    <row r="559" spans="1:4" x14ac:dyDescent="0.2">
      <c r="A559" s="5">
        <f t="shared" si="39"/>
        <v>1.3925000000000001</v>
      </c>
      <c r="B559">
        <f t="shared" si="41"/>
        <v>34</v>
      </c>
      <c r="C559" s="3">
        <f t="shared" si="43"/>
        <v>30.375</v>
      </c>
      <c r="D559">
        <f t="shared" si="42"/>
        <v>32</v>
      </c>
    </row>
    <row r="560" spans="1:4" x14ac:dyDescent="0.2">
      <c r="A560" s="5">
        <f t="shared" si="39"/>
        <v>1.395</v>
      </c>
      <c r="B560">
        <f t="shared" si="41"/>
        <v>34</v>
      </c>
      <c r="C560" s="3">
        <f t="shared" si="43"/>
        <v>30.25</v>
      </c>
      <c r="D560">
        <f t="shared" si="42"/>
        <v>32</v>
      </c>
    </row>
    <row r="561" spans="1:4" x14ac:dyDescent="0.2">
      <c r="A561" s="5">
        <f t="shared" si="39"/>
        <v>1.3975</v>
      </c>
      <c r="B561">
        <f t="shared" si="41"/>
        <v>34</v>
      </c>
      <c r="C561" s="3">
        <f t="shared" si="43"/>
        <v>30.125</v>
      </c>
      <c r="D561">
        <f t="shared" si="42"/>
        <v>32</v>
      </c>
    </row>
    <row r="562" spans="1:4" x14ac:dyDescent="0.2">
      <c r="A562" s="5">
        <f t="shared" si="39"/>
        <v>1.4</v>
      </c>
      <c r="B562">
        <f t="shared" si="41"/>
        <v>35</v>
      </c>
      <c r="C562" s="3">
        <f>100-(A562/2*100)</f>
        <v>30</v>
      </c>
      <c r="D562">
        <f t="shared" si="42"/>
        <v>30</v>
      </c>
    </row>
    <row r="563" spans="1:4" x14ac:dyDescent="0.2">
      <c r="A563" s="5">
        <f t="shared" si="39"/>
        <v>1.4025000000000001</v>
      </c>
      <c r="B563">
        <f t="shared" si="41"/>
        <v>35</v>
      </c>
      <c r="C563" s="3">
        <f t="shared" ref="C563:C589" si="44">100-(A563/2*100)</f>
        <v>29.875</v>
      </c>
      <c r="D563">
        <f t="shared" si="42"/>
        <v>30</v>
      </c>
    </row>
    <row r="564" spans="1:4" x14ac:dyDescent="0.2">
      <c r="A564" s="5">
        <f t="shared" si="39"/>
        <v>1.405</v>
      </c>
      <c r="B564">
        <f t="shared" si="41"/>
        <v>35</v>
      </c>
      <c r="C564" s="3">
        <f t="shared" si="44"/>
        <v>29.75</v>
      </c>
      <c r="D564">
        <f t="shared" si="42"/>
        <v>30</v>
      </c>
    </row>
    <row r="565" spans="1:4" x14ac:dyDescent="0.2">
      <c r="A565" s="5">
        <f t="shared" si="39"/>
        <v>1.4075</v>
      </c>
      <c r="B565">
        <f t="shared" si="41"/>
        <v>35</v>
      </c>
      <c r="C565" s="3">
        <f t="shared" si="44"/>
        <v>29.625</v>
      </c>
      <c r="D565">
        <f t="shared" si="42"/>
        <v>30</v>
      </c>
    </row>
    <row r="566" spans="1:4" x14ac:dyDescent="0.2">
      <c r="A566" s="5">
        <f t="shared" si="39"/>
        <v>1.41</v>
      </c>
      <c r="B566">
        <f t="shared" si="41"/>
        <v>35</v>
      </c>
      <c r="C566" s="3">
        <f t="shared" si="44"/>
        <v>29.5</v>
      </c>
      <c r="D566">
        <f t="shared" si="42"/>
        <v>30</v>
      </c>
    </row>
    <row r="567" spans="1:4" x14ac:dyDescent="0.2">
      <c r="A567" s="5">
        <f t="shared" si="39"/>
        <v>1.4125000000000001</v>
      </c>
      <c r="B567">
        <f t="shared" si="41"/>
        <v>35</v>
      </c>
      <c r="C567" s="3">
        <f t="shared" si="44"/>
        <v>29.375</v>
      </c>
      <c r="D567">
        <f t="shared" si="42"/>
        <v>30</v>
      </c>
    </row>
    <row r="568" spans="1:4" x14ac:dyDescent="0.2">
      <c r="A568" s="5">
        <f t="shared" si="39"/>
        <v>1.415</v>
      </c>
      <c r="B568">
        <f t="shared" si="41"/>
        <v>35</v>
      </c>
      <c r="C568" s="3">
        <f t="shared" si="44"/>
        <v>29.25</v>
      </c>
      <c r="D568">
        <f t="shared" si="42"/>
        <v>30</v>
      </c>
    </row>
    <row r="569" spans="1:4" x14ac:dyDescent="0.2">
      <c r="A569" s="5">
        <f t="shared" si="39"/>
        <v>1.4175</v>
      </c>
      <c r="B569">
        <f t="shared" si="41"/>
        <v>35</v>
      </c>
      <c r="C569" s="3">
        <f t="shared" si="44"/>
        <v>29.125</v>
      </c>
      <c r="D569">
        <f t="shared" si="42"/>
        <v>30</v>
      </c>
    </row>
    <row r="570" spans="1:4" x14ac:dyDescent="0.2">
      <c r="A570" s="5">
        <f t="shared" si="39"/>
        <v>1.42</v>
      </c>
      <c r="B570">
        <f t="shared" si="41"/>
        <v>35</v>
      </c>
      <c r="C570" s="3">
        <f t="shared" si="44"/>
        <v>29</v>
      </c>
      <c r="D570">
        <f t="shared" si="42"/>
        <v>30</v>
      </c>
    </row>
    <row r="571" spans="1:4" x14ac:dyDescent="0.2">
      <c r="A571" s="5">
        <f t="shared" si="39"/>
        <v>1.4225000000000001</v>
      </c>
      <c r="B571">
        <f t="shared" si="41"/>
        <v>35</v>
      </c>
      <c r="C571" s="3">
        <f t="shared" si="44"/>
        <v>28.875</v>
      </c>
      <c r="D571">
        <f t="shared" si="42"/>
        <v>30</v>
      </c>
    </row>
    <row r="572" spans="1:4" x14ac:dyDescent="0.2">
      <c r="A572" s="5">
        <f t="shared" si="39"/>
        <v>1.425</v>
      </c>
      <c r="B572">
        <f t="shared" si="41"/>
        <v>35</v>
      </c>
      <c r="C572" s="3">
        <f t="shared" si="44"/>
        <v>28.75</v>
      </c>
      <c r="D572">
        <f t="shared" si="42"/>
        <v>30</v>
      </c>
    </row>
    <row r="573" spans="1:4" x14ac:dyDescent="0.2">
      <c r="A573" s="5">
        <f t="shared" si="39"/>
        <v>1.4275</v>
      </c>
      <c r="B573">
        <f t="shared" si="41"/>
        <v>35</v>
      </c>
      <c r="C573" s="3">
        <f t="shared" si="44"/>
        <v>28.625</v>
      </c>
      <c r="D573">
        <f t="shared" si="42"/>
        <v>30</v>
      </c>
    </row>
    <row r="574" spans="1:4" x14ac:dyDescent="0.2">
      <c r="A574" s="5">
        <f t="shared" si="39"/>
        <v>1.43</v>
      </c>
      <c r="B574">
        <f t="shared" si="41"/>
        <v>35</v>
      </c>
      <c r="C574" s="3">
        <f t="shared" si="44"/>
        <v>28.5</v>
      </c>
      <c r="D574">
        <f t="shared" si="42"/>
        <v>30</v>
      </c>
    </row>
    <row r="575" spans="1:4" x14ac:dyDescent="0.2">
      <c r="A575" s="5">
        <f t="shared" si="39"/>
        <v>1.4325000000000001</v>
      </c>
      <c r="B575">
        <f t="shared" si="41"/>
        <v>35</v>
      </c>
      <c r="C575" s="3">
        <f t="shared" si="44"/>
        <v>28.375</v>
      </c>
      <c r="D575">
        <f t="shared" si="42"/>
        <v>30</v>
      </c>
    </row>
    <row r="576" spans="1:4" x14ac:dyDescent="0.2">
      <c r="A576" s="5">
        <f t="shared" si="39"/>
        <v>1.4350000000000001</v>
      </c>
      <c r="B576">
        <f t="shared" si="41"/>
        <v>35</v>
      </c>
      <c r="C576" s="3">
        <f t="shared" si="44"/>
        <v>28.25</v>
      </c>
      <c r="D576">
        <f t="shared" si="42"/>
        <v>30</v>
      </c>
    </row>
    <row r="577" spans="1:4" x14ac:dyDescent="0.2">
      <c r="A577" s="5">
        <f t="shared" si="39"/>
        <v>1.4375</v>
      </c>
      <c r="B577">
        <f t="shared" si="41"/>
        <v>35</v>
      </c>
      <c r="C577" s="3">
        <f t="shared" si="44"/>
        <v>28.125</v>
      </c>
      <c r="D577">
        <f t="shared" si="42"/>
        <v>30</v>
      </c>
    </row>
    <row r="578" spans="1:4" x14ac:dyDescent="0.2">
      <c r="A578" s="5">
        <f t="shared" si="39"/>
        <v>1.44</v>
      </c>
      <c r="B578">
        <f t="shared" si="41"/>
        <v>36</v>
      </c>
      <c r="C578" s="3">
        <f t="shared" si="44"/>
        <v>28</v>
      </c>
      <c r="D578">
        <f t="shared" si="42"/>
        <v>28</v>
      </c>
    </row>
    <row r="579" spans="1:4" x14ac:dyDescent="0.2">
      <c r="A579" s="5">
        <f t="shared" ref="A579:A642" si="45">(ROW()-2)/400</f>
        <v>1.4424999999999999</v>
      </c>
      <c r="B579">
        <f t="shared" si="41"/>
        <v>36</v>
      </c>
      <c r="C579" s="3">
        <f t="shared" si="44"/>
        <v>27.875</v>
      </c>
      <c r="D579">
        <f t="shared" si="42"/>
        <v>28</v>
      </c>
    </row>
    <row r="580" spans="1:4" x14ac:dyDescent="0.2">
      <c r="A580" s="5">
        <f t="shared" si="45"/>
        <v>1.4450000000000001</v>
      </c>
      <c r="B580">
        <f t="shared" si="41"/>
        <v>36</v>
      </c>
      <c r="C580" s="3">
        <f t="shared" si="44"/>
        <v>27.75</v>
      </c>
      <c r="D580">
        <f t="shared" si="42"/>
        <v>28</v>
      </c>
    </row>
    <row r="581" spans="1:4" x14ac:dyDescent="0.2">
      <c r="A581" s="5">
        <f t="shared" si="45"/>
        <v>1.4475</v>
      </c>
      <c r="B581">
        <f t="shared" si="41"/>
        <v>36</v>
      </c>
      <c r="C581" s="3">
        <f t="shared" si="44"/>
        <v>27.625</v>
      </c>
      <c r="D581">
        <f t="shared" si="42"/>
        <v>28</v>
      </c>
    </row>
    <row r="582" spans="1:4" x14ac:dyDescent="0.2">
      <c r="A582" s="5">
        <f t="shared" si="45"/>
        <v>1.45</v>
      </c>
      <c r="B582">
        <f t="shared" si="41"/>
        <v>36</v>
      </c>
      <c r="C582" s="3">
        <f t="shared" si="44"/>
        <v>27.5</v>
      </c>
      <c r="D582">
        <f t="shared" si="42"/>
        <v>28</v>
      </c>
    </row>
    <row r="583" spans="1:4" x14ac:dyDescent="0.2">
      <c r="A583" s="5">
        <f t="shared" si="45"/>
        <v>1.4524999999999999</v>
      </c>
      <c r="B583">
        <f t="shared" si="41"/>
        <v>36</v>
      </c>
      <c r="C583" s="3">
        <f t="shared" si="44"/>
        <v>27.375</v>
      </c>
      <c r="D583">
        <f t="shared" si="42"/>
        <v>28</v>
      </c>
    </row>
    <row r="584" spans="1:4" x14ac:dyDescent="0.2">
      <c r="A584" s="5">
        <f t="shared" si="45"/>
        <v>1.4550000000000001</v>
      </c>
      <c r="B584">
        <f t="shared" si="41"/>
        <v>36</v>
      </c>
      <c r="C584" s="3">
        <f t="shared" si="44"/>
        <v>27.25</v>
      </c>
      <c r="D584">
        <f t="shared" si="42"/>
        <v>28</v>
      </c>
    </row>
    <row r="585" spans="1:4" x14ac:dyDescent="0.2">
      <c r="A585" s="5">
        <f t="shared" si="45"/>
        <v>1.4575</v>
      </c>
      <c r="B585">
        <f t="shared" si="41"/>
        <v>36</v>
      </c>
      <c r="C585" s="3">
        <f t="shared" si="44"/>
        <v>27.125</v>
      </c>
      <c r="D585">
        <f t="shared" si="42"/>
        <v>28</v>
      </c>
    </row>
    <row r="586" spans="1:4" x14ac:dyDescent="0.2">
      <c r="A586" s="5">
        <f t="shared" si="45"/>
        <v>1.46</v>
      </c>
      <c r="B586">
        <f t="shared" si="41"/>
        <v>36</v>
      </c>
      <c r="C586" s="3">
        <f t="shared" si="44"/>
        <v>27</v>
      </c>
      <c r="D586">
        <f t="shared" si="42"/>
        <v>28</v>
      </c>
    </row>
    <row r="587" spans="1:4" x14ac:dyDescent="0.2">
      <c r="A587" s="5">
        <f t="shared" si="45"/>
        <v>1.4624999999999999</v>
      </c>
      <c r="B587">
        <f t="shared" si="41"/>
        <v>36</v>
      </c>
      <c r="C587" s="3">
        <f t="shared" si="44"/>
        <v>26.875</v>
      </c>
      <c r="D587">
        <f t="shared" si="42"/>
        <v>28</v>
      </c>
    </row>
    <row r="588" spans="1:4" x14ac:dyDescent="0.2">
      <c r="A588" s="5">
        <f t="shared" si="45"/>
        <v>1.4650000000000001</v>
      </c>
      <c r="B588">
        <f t="shared" si="41"/>
        <v>36</v>
      </c>
      <c r="C588" s="3">
        <f t="shared" si="44"/>
        <v>26.75</v>
      </c>
      <c r="D588">
        <f t="shared" si="42"/>
        <v>28</v>
      </c>
    </row>
    <row r="589" spans="1:4" x14ac:dyDescent="0.2">
      <c r="A589" s="5">
        <f t="shared" si="45"/>
        <v>1.4675</v>
      </c>
      <c r="B589">
        <f t="shared" si="41"/>
        <v>36</v>
      </c>
      <c r="C589" s="3">
        <f t="shared" si="44"/>
        <v>26.625</v>
      </c>
      <c r="D589">
        <f t="shared" si="42"/>
        <v>28</v>
      </c>
    </row>
    <row r="590" spans="1:4" x14ac:dyDescent="0.2">
      <c r="A590" s="5">
        <f t="shared" si="45"/>
        <v>1.47</v>
      </c>
      <c r="B590">
        <f t="shared" si="41"/>
        <v>36</v>
      </c>
      <c r="C590" s="3">
        <f>100-(A590/2*100)</f>
        <v>26.5</v>
      </c>
      <c r="D590">
        <f t="shared" si="42"/>
        <v>28</v>
      </c>
    </row>
    <row r="591" spans="1:4" x14ac:dyDescent="0.2">
      <c r="A591" s="5">
        <f t="shared" si="45"/>
        <v>1.4724999999999999</v>
      </c>
      <c r="B591">
        <f t="shared" si="41"/>
        <v>36</v>
      </c>
      <c r="C591" s="3">
        <f t="shared" ref="C591:C654" si="46">100-(A591/2*100)</f>
        <v>26.375</v>
      </c>
      <c r="D591">
        <f t="shared" si="42"/>
        <v>28</v>
      </c>
    </row>
    <row r="592" spans="1:4" x14ac:dyDescent="0.2">
      <c r="A592" s="5">
        <f t="shared" si="45"/>
        <v>1.4750000000000001</v>
      </c>
      <c r="B592">
        <f t="shared" si="41"/>
        <v>36</v>
      </c>
      <c r="C592" s="3">
        <f t="shared" si="46"/>
        <v>26.25</v>
      </c>
      <c r="D592">
        <f t="shared" si="42"/>
        <v>28</v>
      </c>
    </row>
    <row r="593" spans="1:4" x14ac:dyDescent="0.2">
      <c r="A593" s="5">
        <f t="shared" si="45"/>
        <v>1.4775</v>
      </c>
      <c r="B593">
        <f t="shared" si="41"/>
        <v>36</v>
      </c>
      <c r="C593" s="3">
        <f t="shared" si="46"/>
        <v>26.125</v>
      </c>
      <c r="D593">
        <f t="shared" si="42"/>
        <v>28</v>
      </c>
    </row>
    <row r="594" spans="1:4" x14ac:dyDescent="0.2">
      <c r="A594" s="5">
        <f t="shared" si="45"/>
        <v>1.48</v>
      </c>
      <c r="B594">
        <f t="shared" si="41"/>
        <v>37</v>
      </c>
      <c r="C594" s="3">
        <f t="shared" si="46"/>
        <v>26</v>
      </c>
      <c r="D594">
        <f t="shared" si="42"/>
        <v>26</v>
      </c>
    </row>
    <row r="595" spans="1:4" x14ac:dyDescent="0.2">
      <c r="A595" s="5">
        <f t="shared" si="45"/>
        <v>1.4824999999999999</v>
      </c>
      <c r="B595">
        <f t="shared" si="41"/>
        <v>37</v>
      </c>
      <c r="C595" s="3">
        <f t="shared" si="46"/>
        <v>25.875</v>
      </c>
      <c r="D595">
        <f t="shared" si="42"/>
        <v>26</v>
      </c>
    </row>
    <row r="596" spans="1:4" x14ac:dyDescent="0.2">
      <c r="A596" s="5">
        <f t="shared" si="45"/>
        <v>1.4850000000000001</v>
      </c>
      <c r="B596">
        <f t="shared" ref="B596:B659" si="47">_xlfn.FLOOR.MATH(A596*25)</f>
        <v>37</v>
      </c>
      <c r="C596" s="3">
        <f t="shared" si="46"/>
        <v>25.75</v>
      </c>
      <c r="D596">
        <f t="shared" ref="D596:D659" si="48">100-B596*2</f>
        <v>26</v>
      </c>
    </row>
    <row r="597" spans="1:4" x14ac:dyDescent="0.2">
      <c r="A597" s="5">
        <f t="shared" si="45"/>
        <v>1.4875</v>
      </c>
      <c r="B597">
        <f t="shared" si="47"/>
        <v>37</v>
      </c>
      <c r="C597" s="3">
        <f t="shared" si="46"/>
        <v>25.625</v>
      </c>
      <c r="D597">
        <f t="shared" si="48"/>
        <v>26</v>
      </c>
    </row>
    <row r="598" spans="1:4" x14ac:dyDescent="0.2">
      <c r="A598" s="5">
        <f t="shared" si="45"/>
        <v>1.49</v>
      </c>
      <c r="B598">
        <f t="shared" si="47"/>
        <v>37</v>
      </c>
      <c r="C598" s="3">
        <f t="shared" si="46"/>
        <v>25.5</v>
      </c>
      <c r="D598">
        <f t="shared" si="48"/>
        <v>26</v>
      </c>
    </row>
    <row r="599" spans="1:4" x14ac:dyDescent="0.2">
      <c r="A599" s="5">
        <f t="shared" si="45"/>
        <v>1.4924999999999999</v>
      </c>
      <c r="B599">
        <f t="shared" si="47"/>
        <v>37</v>
      </c>
      <c r="C599" s="3">
        <f t="shared" si="46"/>
        <v>25.375</v>
      </c>
      <c r="D599">
        <f t="shared" si="48"/>
        <v>26</v>
      </c>
    </row>
    <row r="600" spans="1:4" x14ac:dyDescent="0.2">
      <c r="A600" s="5">
        <f t="shared" si="45"/>
        <v>1.4950000000000001</v>
      </c>
      <c r="B600">
        <f t="shared" si="47"/>
        <v>37</v>
      </c>
      <c r="C600" s="3">
        <f t="shared" si="46"/>
        <v>25.25</v>
      </c>
      <c r="D600">
        <f t="shared" si="48"/>
        <v>26</v>
      </c>
    </row>
    <row r="601" spans="1:4" x14ac:dyDescent="0.2">
      <c r="A601" s="5">
        <f t="shared" si="45"/>
        <v>1.4975000000000001</v>
      </c>
      <c r="B601">
        <f t="shared" si="47"/>
        <v>37</v>
      </c>
      <c r="C601" s="3">
        <f t="shared" si="46"/>
        <v>25.125</v>
      </c>
      <c r="D601">
        <f t="shared" si="48"/>
        <v>26</v>
      </c>
    </row>
    <row r="602" spans="1:4" x14ac:dyDescent="0.2">
      <c r="A602" s="5">
        <f t="shared" si="45"/>
        <v>1.5</v>
      </c>
      <c r="B602">
        <f t="shared" si="47"/>
        <v>37</v>
      </c>
      <c r="C602" s="3">
        <f t="shared" si="46"/>
        <v>25</v>
      </c>
      <c r="D602">
        <f t="shared" si="48"/>
        <v>26</v>
      </c>
    </row>
    <row r="603" spans="1:4" x14ac:dyDescent="0.2">
      <c r="A603" s="5">
        <f t="shared" si="45"/>
        <v>1.5024999999999999</v>
      </c>
      <c r="B603">
        <f t="shared" si="47"/>
        <v>37</v>
      </c>
      <c r="C603" s="3">
        <f t="shared" si="46"/>
        <v>24.875</v>
      </c>
      <c r="D603">
        <f t="shared" si="48"/>
        <v>26</v>
      </c>
    </row>
    <row r="604" spans="1:4" x14ac:dyDescent="0.2">
      <c r="A604" s="5">
        <f t="shared" si="45"/>
        <v>1.5049999999999999</v>
      </c>
      <c r="B604">
        <f t="shared" si="47"/>
        <v>37</v>
      </c>
      <c r="C604" s="3">
        <f t="shared" si="46"/>
        <v>24.75</v>
      </c>
      <c r="D604">
        <f t="shared" si="48"/>
        <v>26</v>
      </c>
    </row>
    <row r="605" spans="1:4" x14ac:dyDescent="0.2">
      <c r="A605" s="5">
        <f t="shared" si="45"/>
        <v>1.5075000000000001</v>
      </c>
      <c r="B605">
        <f t="shared" si="47"/>
        <v>37</v>
      </c>
      <c r="C605" s="3">
        <f t="shared" si="46"/>
        <v>24.625</v>
      </c>
      <c r="D605">
        <f t="shared" si="48"/>
        <v>26</v>
      </c>
    </row>
    <row r="606" spans="1:4" x14ac:dyDescent="0.2">
      <c r="A606" s="5">
        <f t="shared" si="45"/>
        <v>1.51</v>
      </c>
      <c r="B606">
        <f t="shared" si="47"/>
        <v>37</v>
      </c>
      <c r="C606" s="3">
        <f t="shared" si="46"/>
        <v>24.5</v>
      </c>
      <c r="D606">
        <f t="shared" si="48"/>
        <v>26</v>
      </c>
    </row>
    <row r="607" spans="1:4" x14ac:dyDescent="0.2">
      <c r="A607" s="5">
        <f t="shared" si="45"/>
        <v>1.5125</v>
      </c>
      <c r="B607">
        <f t="shared" si="47"/>
        <v>37</v>
      </c>
      <c r="C607" s="3">
        <f t="shared" si="46"/>
        <v>24.375</v>
      </c>
      <c r="D607">
        <f t="shared" si="48"/>
        <v>26</v>
      </c>
    </row>
    <row r="608" spans="1:4" x14ac:dyDescent="0.2">
      <c r="A608" s="5">
        <f t="shared" si="45"/>
        <v>1.5149999999999999</v>
      </c>
      <c r="B608">
        <f t="shared" si="47"/>
        <v>37</v>
      </c>
      <c r="C608" s="3">
        <f t="shared" si="46"/>
        <v>24.25</v>
      </c>
      <c r="D608">
        <f t="shared" si="48"/>
        <v>26</v>
      </c>
    </row>
    <row r="609" spans="1:4" x14ac:dyDescent="0.2">
      <c r="A609" s="5">
        <f t="shared" si="45"/>
        <v>1.5175000000000001</v>
      </c>
      <c r="B609">
        <f t="shared" si="47"/>
        <v>37</v>
      </c>
      <c r="C609" s="3">
        <f t="shared" si="46"/>
        <v>24.125</v>
      </c>
      <c r="D609">
        <f t="shared" si="48"/>
        <v>26</v>
      </c>
    </row>
    <row r="610" spans="1:4" x14ac:dyDescent="0.2">
      <c r="A610" s="5">
        <f t="shared" si="45"/>
        <v>1.52</v>
      </c>
      <c r="B610">
        <f t="shared" si="47"/>
        <v>38</v>
      </c>
      <c r="C610" s="3">
        <f t="shared" si="46"/>
        <v>24</v>
      </c>
      <c r="D610">
        <f t="shared" si="48"/>
        <v>24</v>
      </c>
    </row>
    <row r="611" spans="1:4" x14ac:dyDescent="0.2">
      <c r="A611" s="5">
        <f t="shared" si="45"/>
        <v>1.5225</v>
      </c>
      <c r="B611">
        <f t="shared" si="47"/>
        <v>38</v>
      </c>
      <c r="C611" s="3">
        <f t="shared" si="46"/>
        <v>23.875</v>
      </c>
      <c r="D611">
        <f t="shared" si="48"/>
        <v>24</v>
      </c>
    </row>
    <row r="612" spans="1:4" x14ac:dyDescent="0.2">
      <c r="A612" s="5">
        <f t="shared" si="45"/>
        <v>1.5249999999999999</v>
      </c>
      <c r="B612">
        <f t="shared" si="47"/>
        <v>38</v>
      </c>
      <c r="C612" s="3">
        <f t="shared" si="46"/>
        <v>23.75</v>
      </c>
      <c r="D612">
        <f t="shared" si="48"/>
        <v>24</v>
      </c>
    </row>
    <row r="613" spans="1:4" x14ac:dyDescent="0.2">
      <c r="A613" s="5">
        <f t="shared" si="45"/>
        <v>1.5275000000000001</v>
      </c>
      <c r="B613">
        <f t="shared" si="47"/>
        <v>38</v>
      </c>
      <c r="C613" s="3">
        <f t="shared" si="46"/>
        <v>23.625</v>
      </c>
      <c r="D613">
        <f t="shared" si="48"/>
        <v>24</v>
      </c>
    </row>
    <row r="614" spans="1:4" x14ac:dyDescent="0.2">
      <c r="A614" s="5">
        <f t="shared" si="45"/>
        <v>1.53</v>
      </c>
      <c r="B614">
        <f t="shared" si="47"/>
        <v>38</v>
      </c>
      <c r="C614" s="3">
        <f t="shared" si="46"/>
        <v>23.5</v>
      </c>
      <c r="D614">
        <f t="shared" si="48"/>
        <v>24</v>
      </c>
    </row>
    <row r="615" spans="1:4" x14ac:dyDescent="0.2">
      <c r="A615" s="5">
        <f t="shared" si="45"/>
        <v>1.5325</v>
      </c>
      <c r="B615">
        <f t="shared" si="47"/>
        <v>38</v>
      </c>
      <c r="C615" s="3">
        <f t="shared" si="46"/>
        <v>23.375</v>
      </c>
      <c r="D615">
        <f t="shared" si="48"/>
        <v>24</v>
      </c>
    </row>
    <row r="616" spans="1:4" x14ac:dyDescent="0.2">
      <c r="A616" s="5">
        <f t="shared" si="45"/>
        <v>1.5349999999999999</v>
      </c>
      <c r="B616">
        <f t="shared" si="47"/>
        <v>38</v>
      </c>
      <c r="C616" s="3">
        <f t="shared" si="46"/>
        <v>23.25</v>
      </c>
      <c r="D616">
        <f t="shared" si="48"/>
        <v>24</v>
      </c>
    </row>
    <row r="617" spans="1:4" x14ac:dyDescent="0.2">
      <c r="A617" s="5">
        <f t="shared" si="45"/>
        <v>1.5375000000000001</v>
      </c>
      <c r="B617">
        <f t="shared" si="47"/>
        <v>38</v>
      </c>
      <c r="C617" s="3">
        <f t="shared" si="46"/>
        <v>23.125</v>
      </c>
      <c r="D617">
        <f t="shared" si="48"/>
        <v>24</v>
      </c>
    </row>
    <row r="618" spans="1:4" x14ac:dyDescent="0.2">
      <c r="A618" s="5">
        <f t="shared" si="45"/>
        <v>1.54</v>
      </c>
      <c r="B618">
        <f t="shared" si="47"/>
        <v>38</v>
      </c>
      <c r="C618" s="3">
        <f t="shared" si="46"/>
        <v>23</v>
      </c>
      <c r="D618">
        <f t="shared" si="48"/>
        <v>24</v>
      </c>
    </row>
    <row r="619" spans="1:4" x14ac:dyDescent="0.2">
      <c r="A619" s="5">
        <f t="shared" si="45"/>
        <v>1.5425</v>
      </c>
      <c r="B619">
        <f t="shared" si="47"/>
        <v>38</v>
      </c>
      <c r="C619" s="3">
        <f t="shared" si="46"/>
        <v>22.875</v>
      </c>
      <c r="D619">
        <f t="shared" si="48"/>
        <v>24</v>
      </c>
    </row>
    <row r="620" spans="1:4" x14ac:dyDescent="0.2">
      <c r="A620" s="5">
        <f t="shared" si="45"/>
        <v>1.5449999999999999</v>
      </c>
      <c r="B620">
        <f t="shared" si="47"/>
        <v>38</v>
      </c>
      <c r="C620" s="3">
        <f t="shared" si="46"/>
        <v>22.75</v>
      </c>
      <c r="D620">
        <f t="shared" si="48"/>
        <v>24</v>
      </c>
    </row>
    <row r="621" spans="1:4" x14ac:dyDescent="0.2">
      <c r="A621" s="5">
        <f t="shared" si="45"/>
        <v>1.5475000000000001</v>
      </c>
      <c r="B621">
        <f t="shared" si="47"/>
        <v>38</v>
      </c>
      <c r="C621" s="3">
        <f t="shared" si="46"/>
        <v>22.625</v>
      </c>
      <c r="D621">
        <f t="shared" si="48"/>
        <v>24</v>
      </c>
    </row>
    <row r="622" spans="1:4" x14ac:dyDescent="0.2">
      <c r="A622" s="5">
        <f t="shared" si="45"/>
        <v>1.55</v>
      </c>
      <c r="B622">
        <f t="shared" si="47"/>
        <v>38</v>
      </c>
      <c r="C622" s="3">
        <f t="shared" si="46"/>
        <v>22.5</v>
      </c>
      <c r="D622">
        <f t="shared" si="48"/>
        <v>24</v>
      </c>
    </row>
    <row r="623" spans="1:4" x14ac:dyDescent="0.2">
      <c r="A623" s="5">
        <f t="shared" si="45"/>
        <v>1.5525</v>
      </c>
      <c r="B623">
        <f t="shared" si="47"/>
        <v>38</v>
      </c>
      <c r="C623" s="3">
        <f t="shared" si="46"/>
        <v>22.375</v>
      </c>
      <c r="D623">
        <f t="shared" si="48"/>
        <v>24</v>
      </c>
    </row>
    <row r="624" spans="1:4" x14ac:dyDescent="0.2">
      <c r="A624" s="5">
        <f t="shared" si="45"/>
        <v>1.5549999999999999</v>
      </c>
      <c r="B624">
        <f t="shared" si="47"/>
        <v>38</v>
      </c>
      <c r="C624" s="3">
        <f t="shared" si="46"/>
        <v>22.25</v>
      </c>
      <c r="D624">
        <f t="shared" si="48"/>
        <v>24</v>
      </c>
    </row>
    <row r="625" spans="1:4" x14ac:dyDescent="0.2">
      <c r="A625" s="5">
        <f t="shared" si="45"/>
        <v>1.5575000000000001</v>
      </c>
      <c r="B625">
        <f t="shared" si="47"/>
        <v>38</v>
      </c>
      <c r="C625" s="3">
        <f t="shared" si="46"/>
        <v>22.125</v>
      </c>
      <c r="D625">
        <f t="shared" si="48"/>
        <v>24</v>
      </c>
    </row>
    <row r="626" spans="1:4" x14ac:dyDescent="0.2">
      <c r="A626" s="5">
        <f t="shared" si="45"/>
        <v>1.56</v>
      </c>
      <c r="B626">
        <f t="shared" si="47"/>
        <v>39</v>
      </c>
      <c r="C626" s="3">
        <f t="shared" si="46"/>
        <v>22</v>
      </c>
      <c r="D626">
        <f t="shared" si="48"/>
        <v>22</v>
      </c>
    </row>
    <row r="627" spans="1:4" x14ac:dyDescent="0.2">
      <c r="A627" s="5">
        <f t="shared" si="45"/>
        <v>1.5625</v>
      </c>
      <c r="B627">
        <f t="shared" si="47"/>
        <v>39</v>
      </c>
      <c r="C627" s="3">
        <f t="shared" si="46"/>
        <v>21.875</v>
      </c>
      <c r="D627">
        <f t="shared" si="48"/>
        <v>22</v>
      </c>
    </row>
    <row r="628" spans="1:4" x14ac:dyDescent="0.2">
      <c r="A628" s="5">
        <f t="shared" si="45"/>
        <v>1.5649999999999999</v>
      </c>
      <c r="B628">
        <f t="shared" si="47"/>
        <v>39</v>
      </c>
      <c r="C628" s="3">
        <f t="shared" si="46"/>
        <v>21.75</v>
      </c>
      <c r="D628">
        <f t="shared" si="48"/>
        <v>22</v>
      </c>
    </row>
    <row r="629" spans="1:4" x14ac:dyDescent="0.2">
      <c r="A629" s="5">
        <f t="shared" si="45"/>
        <v>1.5674999999999999</v>
      </c>
      <c r="B629">
        <f t="shared" si="47"/>
        <v>39</v>
      </c>
      <c r="C629" s="3">
        <f t="shared" si="46"/>
        <v>21.625</v>
      </c>
      <c r="D629">
        <f t="shared" si="48"/>
        <v>22</v>
      </c>
    </row>
    <row r="630" spans="1:4" x14ac:dyDescent="0.2">
      <c r="A630" s="5">
        <f t="shared" si="45"/>
        <v>1.57</v>
      </c>
      <c r="B630">
        <f t="shared" si="47"/>
        <v>39</v>
      </c>
      <c r="C630" s="3">
        <f t="shared" si="46"/>
        <v>21.5</v>
      </c>
      <c r="D630">
        <f t="shared" si="48"/>
        <v>22</v>
      </c>
    </row>
    <row r="631" spans="1:4" x14ac:dyDescent="0.2">
      <c r="A631" s="5">
        <f t="shared" si="45"/>
        <v>1.5725</v>
      </c>
      <c r="B631">
        <f t="shared" si="47"/>
        <v>39</v>
      </c>
      <c r="C631" s="3">
        <f t="shared" si="46"/>
        <v>21.375</v>
      </c>
      <c r="D631">
        <f t="shared" si="48"/>
        <v>22</v>
      </c>
    </row>
    <row r="632" spans="1:4" x14ac:dyDescent="0.2">
      <c r="A632" s="5">
        <f t="shared" si="45"/>
        <v>1.575</v>
      </c>
      <c r="B632">
        <f t="shared" si="47"/>
        <v>39</v>
      </c>
      <c r="C632" s="3">
        <f t="shared" si="46"/>
        <v>21.25</v>
      </c>
      <c r="D632">
        <f t="shared" si="48"/>
        <v>22</v>
      </c>
    </row>
    <row r="633" spans="1:4" x14ac:dyDescent="0.2">
      <c r="A633" s="5">
        <f t="shared" si="45"/>
        <v>1.5774999999999999</v>
      </c>
      <c r="B633">
        <f t="shared" si="47"/>
        <v>39</v>
      </c>
      <c r="C633" s="3">
        <f t="shared" si="46"/>
        <v>21.125</v>
      </c>
      <c r="D633">
        <f t="shared" si="48"/>
        <v>22</v>
      </c>
    </row>
    <row r="634" spans="1:4" x14ac:dyDescent="0.2">
      <c r="A634" s="5">
        <f t="shared" si="45"/>
        <v>1.58</v>
      </c>
      <c r="B634">
        <f t="shared" si="47"/>
        <v>39</v>
      </c>
      <c r="C634" s="3">
        <f t="shared" si="46"/>
        <v>21</v>
      </c>
      <c r="D634">
        <f t="shared" si="48"/>
        <v>22</v>
      </c>
    </row>
    <row r="635" spans="1:4" x14ac:dyDescent="0.2">
      <c r="A635" s="5">
        <f t="shared" si="45"/>
        <v>1.5825</v>
      </c>
      <c r="B635">
        <f t="shared" si="47"/>
        <v>39</v>
      </c>
      <c r="C635" s="3">
        <f t="shared" si="46"/>
        <v>20.875</v>
      </c>
      <c r="D635">
        <f t="shared" si="48"/>
        <v>22</v>
      </c>
    </row>
    <row r="636" spans="1:4" x14ac:dyDescent="0.2">
      <c r="A636" s="5">
        <f t="shared" si="45"/>
        <v>1.585</v>
      </c>
      <c r="B636">
        <f t="shared" si="47"/>
        <v>39</v>
      </c>
      <c r="C636" s="3">
        <f t="shared" si="46"/>
        <v>20.75</v>
      </c>
      <c r="D636">
        <f t="shared" si="48"/>
        <v>22</v>
      </c>
    </row>
    <row r="637" spans="1:4" x14ac:dyDescent="0.2">
      <c r="A637" s="5">
        <f t="shared" si="45"/>
        <v>1.5874999999999999</v>
      </c>
      <c r="B637">
        <f t="shared" si="47"/>
        <v>39</v>
      </c>
      <c r="C637" s="3">
        <f t="shared" si="46"/>
        <v>20.625</v>
      </c>
      <c r="D637">
        <f t="shared" si="48"/>
        <v>22</v>
      </c>
    </row>
    <row r="638" spans="1:4" x14ac:dyDescent="0.2">
      <c r="A638" s="5">
        <f t="shared" si="45"/>
        <v>1.59</v>
      </c>
      <c r="B638">
        <f t="shared" si="47"/>
        <v>39</v>
      </c>
      <c r="C638" s="3">
        <f t="shared" si="46"/>
        <v>20.5</v>
      </c>
      <c r="D638">
        <f t="shared" si="48"/>
        <v>22</v>
      </c>
    </row>
    <row r="639" spans="1:4" x14ac:dyDescent="0.2">
      <c r="A639" s="5">
        <f t="shared" si="45"/>
        <v>1.5925</v>
      </c>
      <c r="B639">
        <f t="shared" si="47"/>
        <v>39</v>
      </c>
      <c r="C639" s="3">
        <f t="shared" si="46"/>
        <v>20.375</v>
      </c>
      <c r="D639">
        <f t="shared" si="48"/>
        <v>22</v>
      </c>
    </row>
    <row r="640" spans="1:4" x14ac:dyDescent="0.2">
      <c r="A640" s="5">
        <f t="shared" si="45"/>
        <v>1.595</v>
      </c>
      <c r="B640">
        <f t="shared" si="47"/>
        <v>39</v>
      </c>
      <c r="C640" s="3">
        <f t="shared" si="46"/>
        <v>20.25</v>
      </c>
      <c r="D640">
        <f t="shared" si="48"/>
        <v>22</v>
      </c>
    </row>
    <row r="641" spans="1:4" x14ac:dyDescent="0.2">
      <c r="A641" s="5">
        <f t="shared" si="45"/>
        <v>1.5974999999999999</v>
      </c>
      <c r="B641">
        <f t="shared" si="47"/>
        <v>39</v>
      </c>
      <c r="C641" s="3">
        <f t="shared" si="46"/>
        <v>20.125</v>
      </c>
      <c r="D641">
        <f t="shared" si="48"/>
        <v>22</v>
      </c>
    </row>
    <row r="642" spans="1:4" x14ac:dyDescent="0.2">
      <c r="A642" s="5">
        <f t="shared" si="45"/>
        <v>1.6</v>
      </c>
      <c r="B642">
        <f t="shared" si="47"/>
        <v>40</v>
      </c>
      <c r="C642" s="3">
        <f t="shared" si="46"/>
        <v>20</v>
      </c>
      <c r="D642">
        <f t="shared" si="48"/>
        <v>20</v>
      </c>
    </row>
    <row r="643" spans="1:4" x14ac:dyDescent="0.2">
      <c r="A643" s="5">
        <f t="shared" ref="A643:A706" si="49">(ROW()-2)/400</f>
        <v>1.6025</v>
      </c>
      <c r="B643">
        <f t="shared" si="47"/>
        <v>40</v>
      </c>
      <c r="C643" s="3">
        <f t="shared" si="46"/>
        <v>19.875</v>
      </c>
      <c r="D643">
        <f t="shared" si="48"/>
        <v>20</v>
      </c>
    </row>
    <row r="644" spans="1:4" x14ac:dyDescent="0.2">
      <c r="A644" s="5">
        <f t="shared" si="49"/>
        <v>1.605</v>
      </c>
      <c r="B644">
        <f t="shared" si="47"/>
        <v>40</v>
      </c>
      <c r="C644" s="3">
        <f t="shared" si="46"/>
        <v>19.75</v>
      </c>
      <c r="D644">
        <f t="shared" si="48"/>
        <v>20</v>
      </c>
    </row>
    <row r="645" spans="1:4" x14ac:dyDescent="0.2">
      <c r="A645" s="5">
        <f t="shared" si="49"/>
        <v>1.6074999999999999</v>
      </c>
      <c r="B645">
        <f t="shared" si="47"/>
        <v>40</v>
      </c>
      <c r="C645" s="3">
        <f t="shared" si="46"/>
        <v>19.625</v>
      </c>
      <c r="D645">
        <f t="shared" si="48"/>
        <v>20</v>
      </c>
    </row>
    <row r="646" spans="1:4" x14ac:dyDescent="0.2">
      <c r="A646" s="5">
        <f t="shared" si="49"/>
        <v>1.61</v>
      </c>
      <c r="B646">
        <f t="shared" si="47"/>
        <v>40</v>
      </c>
      <c r="C646" s="3">
        <f t="shared" si="46"/>
        <v>19.5</v>
      </c>
      <c r="D646">
        <f t="shared" si="48"/>
        <v>20</v>
      </c>
    </row>
    <row r="647" spans="1:4" x14ac:dyDescent="0.2">
      <c r="A647" s="5">
        <f t="shared" si="49"/>
        <v>1.6125</v>
      </c>
      <c r="B647">
        <f t="shared" si="47"/>
        <v>40</v>
      </c>
      <c r="C647" s="3">
        <f t="shared" si="46"/>
        <v>19.375</v>
      </c>
      <c r="D647">
        <f t="shared" si="48"/>
        <v>20</v>
      </c>
    </row>
    <row r="648" spans="1:4" x14ac:dyDescent="0.2">
      <c r="A648" s="5">
        <f t="shared" si="49"/>
        <v>1.615</v>
      </c>
      <c r="B648">
        <f t="shared" si="47"/>
        <v>40</v>
      </c>
      <c r="C648" s="3">
        <f t="shared" si="46"/>
        <v>19.25</v>
      </c>
      <c r="D648">
        <f t="shared" si="48"/>
        <v>20</v>
      </c>
    </row>
    <row r="649" spans="1:4" x14ac:dyDescent="0.2">
      <c r="A649" s="5">
        <f t="shared" si="49"/>
        <v>1.6174999999999999</v>
      </c>
      <c r="B649">
        <f t="shared" si="47"/>
        <v>40</v>
      </c>
      <c r="C649" s="3">
        <f t="shared" si="46"/>
        <v>19.125</v>
      </c>
      <c r="D649">
        <f t="shared" si="48"/>
        <v>20</v>
      </c>
    </row>
    <row r="650" spans="1:4" x14ac:dyDescent="0.2">
      <c r="A650" s="5">
        <f t="shared" si="49"/>
        <v>1.62</v>
      </c>
      <c r="B650">
        <f t="shared" si="47"/>
        <v>40</v>
      </c>
      <c r="C650" s="3">
        <f t="shared" si="46"/>
        <v>19</v>
      </c>
      <c r="D650">
        <f t="shared" si="48"/>
        <v>20</v>
      </c>
    </row>
    <row r="651" spans="1:4" x14ac:dyDescent="0.2">
      <c r="A651" s="5">
        <f t="shared" si="49"/>
        <v>1.6225000000000001</v>
      </c>
      <c r="B651">
        <f t="shared" si="47"/>
        <v>40</v>
      </c>
      <c r="C651" s="3">
        <f t="shared" si="46"/>
        <v>18.875</v>
      </c>
      <c r="D651">
        <f t="shared" si="48"/>
        <v>20</v>
      </c>
    </row>
    <row r="652" spans="1:4" x14ac:dyDescent="0.2">
      <c r="A652" s="5">
        <f t="shared" si="49"/>
        <v>1.625</v>
      </c>
      <c r="B652">
        <f t="shared" si="47"/>
        <v>40</v>
      </c>
      <c r="C652" s="3">
        <f t="shared" si="46"/>
        <v>18.75</v>
      </c>
      <c r="D652">
        <f t="shared" si="48"/>
        <v>20</v>
      </c>
    </row>
    <row r="653" spans="1:4" x14ac:dyDescent="0.2">
      <c r="A653" s="5">
        <f t="shared" si="49"/>
        <v>1.6274999999999999</v>
      </c>
      <c r="B653">
        <f t="shared" si="47"/>
        <v>40</v>
      </c>
      <c r="C653" s="3">
        <f t="shared" si="46"/>
        <v>18.625</v>
      </c>
      <c r="D653">
        <f t="shared" si="48"/>
        <v>20</v>
      </c>
    </row>
    <row r="654" spans="1:4" x14ac:dyDescent="0.2">
      <c r="A654" s="5">
        <f t="shared" si="49"/>
        <v>1.63</v>
      </c>
      <c r="B654">
        <f t="shared" si="47"/>
        <v>40</v>
      </c>
      <c r="C654" s="3">
        <f t="shared" si="46"/>
        <v>18.5</v>
      </c>
      <c r="D654">
        <f t="shared" si="48"/>
        <v>20</v>
      </c>
    </row>
    <row r="655" spans="1:4" x14ac:dyDescent="0.2">
      <c r="A655" s="5">
        <f t="shared" si="49"/>
        <v>1.6325000000000001</v>
      </c>
      <c r="B655">
        <f t="shared" si="47"/>
        <v>40</v>
      </c>
      <c r="C655" s="3">
        <f t="shared" ref="C655:C718" si="50">100-(A655/2*100)</f>
        <v>18.375</v>
      </c>
      <c r="D655">
        <f t="shared" si="48"/>
        <v>20</v>
      </c>
    </row>
    <row r="656" spans="1:4" x14ac:dyDescent="0.2">
      <c r="A656" s="5">
        <f t="shared" si="49"/>
        <v>1.635</v>
      </c>
      <c r="B656">
        <f t="shared" si="47"/>
        <v>40</v>
      </c>
      <c r="C656" s="3">
        <f t="shared" si="50"/>
        <v>18.25</v>
      </c>
      <c r="D656">
        <f t="shared" si="48"/>
        <v>20</v>
      </c>
    </row>
    <row r="657" spans="1:4" x14ac:dyDescent="0.2">
      <c r="A657" s="5">
        <f t="shared" si="49"/>
        <v>1.6375</v>
      </c>
      <c r="B657">
        <f t="shared" si="47"/>
        <v>40</v>
      </c>
      <c r="C657" s="3">
        <f t="shared" si="50"/>
        <v>18.125</v>
      </c>
      <c r="D657">
        <f t="shared" si="48"/>
        <v>20</v>
      </c>
    </row>
    <row r="658" spans="1:4" x14ac:dyDescent="0.2">
      <c r="A658" s="5">
        <f t="shared" si="49"/>
        <v>1.64</v>
      </c>
      <c r="B658">
        <f t="shared" si="47"/>
        <v>41</v>
      </c>
      <c r="C658" s="3">
        <f t="shared" si="50"/>
        <v>18</v>
      </c>
      <c r="D658">
        <f t="shared" si="48"/>
        <v>18</v>
      </c>
    </row>
    <row r="659" spans="1:4" x14ac:dyDescent="0.2">
      <c r="A659" s="5">
        <f t="shared" si="49"/>
        <v>1.6425000000000001</v>
      </c>
      <c r="B659">
        <f t="shared" si="47"/>
        <v>41</v>
      </c>
      <c r="C659" s="3">
        <f t="shared" si="50"/>
        <v>17.875</v>
      </c>
      <c r="D659">
        <f t="shared" si="48"/>
        <v>18</v>
      </c>
    </row>
    <row r="660" spans="1:4" x14ac:dyDescent="0.2">
      <c r="A660" s="5">
        <f t="shared" si="49"/>
        <v>1.645</v>
      </c>
      <c r="B660">
        <f t="shared" ref="B660:B723" si="51">_xlfn.FLOOR.MATH(A660*25)</f>
        <v>41</v>
      </c>
      <c r="C660" s="3">
        <f t="shared" si="50"/>
        <v>17.75</v>
      </c>
      <c r="D660">
        <f t="shared" ref="D660:D723" si="52">100-B660*2</f>
        <v>18</v>
      </c>
    </row>
    <row r="661" spans="1:4" x14ac:dyDescent="0.2">
      <c r="A661" s="5">
        <f t="shared" si="49"/>
        <v>1.6475</v>
      </c>
      <c r="B661">
        <f t="shared" si="51"/>
        <v>41</v>
      </c>
      <c r="C661" s="3">
        <f t="shared" si="50"/>
        <v>17.625</v>
      </c>
      <c r="D661">
        <f t="shared" si="52"/>
        <v>18</v>
      </c>
    </row>
    <row r="662" spans="1:4" x14ac:dyDescent="0.2">
      <c r="A662" s="5">
        <f t="shared" si="49"/>
        <v>1.65</v>
      </c>
      <c r="B662">
        <f t="shared" si="51"/>
        <v>41</v>
      </c>
      <c r="C662" s="3">
        <f t="shared" si="50"/>
        <v>17.5</v>
      </c>
      <c r="D662">
        <f t="shared" si="52"/>
        <v>18</v>
      </c>
    </row>
    <row r="663" spans="1:4" x14ac:dyDescent="0.2">
      <c r="A663" s="5">
        <f t="shared" si="49"/>
        <v>1.6525000000000001</v>
      </c>
      <c r="B663">
        <f t="shared" si="51"/>
        <v>41</v>
      </c>
      <c r="C663" s="3">
        <f t="shared" si="50"/>
        <v>17.375</v>
      </c>
      <c r="D663">
        <f t="shared" si="52"/>
        <v>18</v>
      </c>
    </row>
    <row r="664" spans="1:4" x14ac:dyDescent="0.2">
      <c r="A664" s="5">
        <f t="shared" si="49"/>
        <v>1.655</v>
      </c>
      <c r="B664">
        <f t="shared" si="51"/>
        <v>41</v>
      </c>
      <c r="C664" s="3">
        <f t="shared" si="50"/>
        <v>17.25</v>
      </c>
      <c r="D664">
        <f t="shared" si="52"/>
        <v>18</v>
      </c>
    </row>
    <row r="665" spans="1:4" x14ac:dyDescent="0.2">
      <c r="A665" s="5">
        <f t="shared" si="49"/>
        <v>1.6575</v>
      </c>
      <c r="B665">
        <f t="shared" si="51"/>
        <v>41</v>
      </c>
      <c r="C665" s="3">
        <f t="shared" si="50"/>
        <v>17.125</v>
      </c>
      <c r="D665">
        <f t="shared" si="52"/>
        <v>18</v>
      </c>
    </row>
    <row r="666" spans="1:4" x14ac:dyDescent="0.2">
      <c r="A666" s="5">
        <f t="shared" si="49"/>
        <v>1.66</v>
      </c>
      <c r="B666">
        <f t="shared" si="51"/>
        <v>41</v>
      </c>
      <c r="C666" s="3">
        <f t="shared" si="50"/>
        <v>17</v>
      </c>
      <c r="D666">
        <f t="shared" si="52"/>
        <v>18</v>
      </c>
    </row>
    <row r="667" spans="1:4" x14ac:dyDescent="0.2">
      <c r="A667" s="5">
        <f t="shared" si="49"/>
        <v>1.6625000000000001</v>
      </c>
      <c r="B667">
        <f t="shared" si="51"/>
        <v>41</v>
      </c>
      <c r="C667" s="3">
        <f t="shared" si="50"/>
        <v>16.875</v>
      </c>
      <c r="D667">
        <f t="shared" si="52"/>
        <v>18</v>
      </c>
    </row>
    <row r="668" spans="1:4" x14ac:dyDescent="0.2">
      <c r="A668" s="5">
        <f t="shared" si="49"/>
        <v>1.665</v>
      </c>
      <c r="B668">
        <f t="shared" si="51"/>
        <v>41</v>
      </c>
      <c r="C668" s="3">
        <f t="shared" si="50"/>
        <v>16.75</v>
      </c>
      <c r="D668">
        <f t="shared" si="52"/>
        <v>18</v>
      </c>
    </row>
    <row r="669" spans="1:4" x14ac:dyDescent="0.2">
      <c r="A669" s="5">
        <f t="shared" si="49"/>
        <v>1.6675</v>
      </c>
      <c r="B669">
        <f t="shared" si="51"/>
        <v>41</v>
      </c>
      <c r="C669" s="3">
        <f t="shared" si="50"/>
        <v>16.625</v>
      </c>
      <c r="D669">
        <f t="shared" si="52"/>
        <v>18</v>
      </c>
    </row>
    <row r="670" spans="1:4" x14ac:dyDescent="0.2">
      <c r="A670" s="5">
        <f t="shared" si="49"/>
        <v>1.67</v>
      </c>
      <c r="B670">
        <f t="shared" si="51"/>
        <v>41</v>
      </c>
      <c r="C670" s="3">
        <f t="shared" si="50"/>
        <v>16.5</v>
      </c>
      <c r="D670">
        <f t="shared" si="52"/>
        <v>18</v>
      </c>
    </row>
    <row r="671" spans="1:4" x14ac:dyDescent="0.2">
      <c r="A671" s="5">
        <f t="shared" si="49"/>
        <v>1.6725000000000001</v>
      </c>
      <c r="B671">
        <f t="shared" si="51"/>
        <v>41</v>
      </c>
      <c r="C671" s="3">
        <f t="shared" si="50"/>
        <v>16.375</v>
      </c>
      <c r="D671">
        <f t="shared" si="52"/>
        <v>18</v>
      </c>
    </row>
    <row r="672" spans="1:4" x14ac:dyDescent="0.2">
      <c r="A672" s="5">
        <f t="shared" si="49"/>
        <v>1.675</v>
      </c>
      <c r="B672">
        <f t="shared" si="51"/>
        <v>41</v>
      </c>
      <c r="C672" s="3">
        <f t="shared" si="50"/>
        <v>16.25</v>
      </c>
      <c r="D672">
        <f t="shared" si="52"/>
        <v>18</v>
      </c>
    </row>
    <row r="673" spans="1:4" x14ac:dyDescent="0.2">
      <c r="A673" s="5">
        <f t="shared" si="49"/>
        <v>1.6775</v>
      </c>
      <c r="B673">
        <f t="shared" si="51"/>
        <v>41</v>
      </c>
      <c r="C673" s="3">
        <f t="shared" si="50"/>
        <v>16.125</v>
      </c>
      <c r="D673">
        <f t="shared" si="52"/>
        <v>18</v>
      </c>
    </row>
    <row r="674" spans="1:4" x14ac:dyDescent="0.2">
      <c r="A674" s="5">
        <f t="shared" si="49"/>
        <v>1.68</v>
      </c>
      <c r="B674">
        <f t="shared" si="51"/>
        <v>42</v>
      </c>
      <c r="C674" s="3">
        <f t="shared" si="50"/>
        <v>16</v>
      </c>
      <c r="D674">
        <f t="shared" si="52"/>
        <v>16</v>
      </c>
    </row>
    <row r="675" spans="1:4" x14ac:dyDescent="0.2">
      <c r="A675" s="5">
        <f t="shared" si="49"/>
        <v>1.6825000000000001</v>
      </c>
      <c r="B675">
        <f t="shared" si="51"/>
        <v>42</v>
      </c>
      <c r="C675" s="3">
        <f t="shared" si="50"/>
        <v>15.875</v>
      </c>
      <c r="D675">
        <f t="shared" si="52"/>
        <v>16</v>
      </c>
    </row>
    <row r="676" spans="1:4" x14ac:dyDescent="0.2">
      <c r="A676" s="5">
        <f t="shared" si="49"/>
        <v>1.6850000000000001</v>
      </c>
      <c r="B676">
        <f t="shared" si="51"/>
        <v>42</v>
      </c>
      <c r="C676" s="3">
        <f t="shared" si="50"/>
        <v>15.75</v>
      </c>
      <c r="D676">
        <f t="shared" si="52"/>
        <v>16</v>
      </c>
    </row>
    <row r="677" spans="1:4" x14ac:dyDescent="0.2">
      <c r="A677" s="5">
        <f t="shared" si="49"/>
        <v>1.6875</v>
      </c>
      <c r="B677">
        <f t="shared" si="51"/>
        <v>42</v>
      </c>
      <c r="C677" s="3">
        <f t="shared" si="50"/>
        <v>15.625</v>
      </c>
      <c r="D677">
        <f t="shared" si="52"/>
        <v>16</v>
      </c>
    </row>
    <row r="678" spans="1:4" x14ac:dyDescent="0.2">
      <c r="A678" s="5">
        <f t="shared" si="49"/>
        <v>1.69</v>
      </c>
      <c r="B678">
        <f t="shared" si="51"/>
        <v>42</v>
      </c>
      <c r="C678" s="3">
        <f t="shared" si="50"/>
        <v>15.5</v>
      </c>
      <c r="D678">
        <f t="shared" si="52"/>
        <v>16</v>
      </c>
    </row>
    <row r="679" spans="1:4" x14ac:dyDescent="0.2">
      <c r="A679" s="5">
        <f t="shared" si="49"/>
        <v>1.6924999999999999</v>
      </c>
      <c r="B679">
        <f t="shared" si="51"/>
        <v>42</v>
      </c>
      <c r="C679" s="3">
        <f t="shared" si="50"/>
        <v>15.375</v>
      </c>
      <c r="D679">
        <f t="shared" si="52"/>
        <v>16</v>
      </c>
    </row>
    <row r="680" spans="1:4" x14ac:dyDescent="0.2">
      <c r="A680" s="5">
        <f t="shared" si="49"/>
        <v>1.6950000000000001</v>
      </c>
      <c r="B680">
        <f t="shared" si="51"/>
        <v>42</v>
      </c>
      <c r="C680" s="3">
        <f t="shared" si="50"/>
        <v>15.25</v>
      </c>
      <c r="D680">
        <f t="shared" si="52"/>
        <v>16</v>
      </c>
    </row>
    <row r="681" spans="1:4" x14ac:dyDescent="0.2">
      <c r="A681" s="5">
        <f t="shared" si="49"/>
        <v>1.6975</v>
      </c>
      <c r="B681">
        <f t="shared" si="51"/>
        <v>42</v>
      </c>
      <c r="C681" s="3">
        <f t="shared" si="50"/>
        <v>15.125</v>
      </c>
      <c r="D681">
        <f t="shared" si="52"/>
        <v>16</v>
      </c>
    </row>
    <row r="682" spans="1:4" x14ac:dyDescent="0.2">
      <c r="A682" s="5">
        <f t="shared" si="49"/>
        <v>1.7</v>
      </c>
      <c r="B682">
        <f t="shared" si="51"/>
        <v>42</v>
      </c>
      <c r="C682" s="3">
        <f t="shared" si="50"/>
        <v>15</v>
      </c>
      <c r="D682">
        <f t="shared" si="52"/>
        <v>16</v>
      </c>
    </row>
    <row r="683" spans="1:4" x14ac:dyDescent="0.2">
      <c r="A683" s="5">
        <f t="shared" si="49"/>
        <v>1.7024999999999999</v>
      </c>
      <c r="B683">
        <f t="shared" si="51"/>
        <v>42</v>
      </c>
      <c r="C683" s="3">
        <f t="shared" si="50"/>
        <v>14.875</v>
      </c>
      <c r="D683">
        <f t="shared" si="52"/>
        <v>16</v>
      </c>
    </row>
    <row r="684" spans="1:4" x14ac:dyDescent="0.2">
      <c r="A684" s="5">
        <f t="shared" si="49"/>
        <v>1.7050000000000001</v>
      </c>
      <c r="B684">
        <f t="shared" si="51"/>
        <v>42</v>
      </c>
      <c r="C684" s="3">
        <f t="shared" si="50"/>
        <v>14.75</v>
      </c>
      <c r="D684">
        <f t="shared" si="52"/>
        <v>16</v>
      </c>
    </row>
    <row r="685" spans="1:4" x14ac:dyDescent="0.2">
      <c r="A685" s="5">
        <f t="shared" si="49"/>
        <v>1.7075</v>
      </c>
      <c r="B685">
        <f t="shared" si="51"/>
        <v>42</v>
      </c>
      <c r="C685" s="3">
        <f t="shared" si="50"/>
        <v>14.625</v>
      </c>
      <c r="D685">
        <f t="shared" si="52"/>
        <v>16</v>
      </c>
    </row>
    <row r="686" spans="1:4" x14ac:dyDescent="0.2">
      <c r="A686" s="5">
        <f t="shared" si="49"/>
        <v>1.71</v>
      </c>
      <c r="B686">
        <f t="shared" si="51"/>
        <v>42</v>
      </c>
      <c r="C686" s="3">
        <f t="shared" si="50"/>
        <v>14.5</v>
      </c>
      <c r="D686">
        <f t="shared" si="52"/>
        <v>16</v>
      </c>
    </row>
    <row r="687" spans="1:4" x14ac:dyDescent="0.2">
      <c r="A687" s="5">
        <f t="shared" si="49"/>
        <v>1.7124999999999999</v>
      </c>
      <c r="B687">
        <f t="shared" si="51"/>
        <v>42</v>
      </c>
      <c r="C687" s="3">
        <f t="shared" si="50"/>
        <v>14.375</v>
      </c>
      <c r="D687">
        <f t="shared" si="52"/>
        <v>16</v>
      </c>
    </row>
    <row r="688" spans="1:4" x14ac:dyDescent="0.2">
      <c r="A688" s="5">
        <f t="shared" si="49"/>
        <v>1.7150000000000001</v>
      </c>
      <c r="B688">
        <f t="shared" si="51"/>
        <v>42</v>
      </c>
      <c r="C688" s="3">
        <f t="shared" si="50"/>
        <v>14.25</v>
      </c>
      <c r="D688">
        <f t="shared" si="52"/>
        <v>16</v>
      </c>
    </row>
    <row r="689" spans="1:4" x14ac:dyDescent="0.2">
      <c r="A689" s="5">
        <f t="shared" si="49"/>
        <v>1.7175</v>
      </c>
      <c r="B689">
        <f t="shared" si="51"/>
        <v>42</v>
      </c>
      <c r="C689" s="3">
        <f t="shared" si="50"/>
        <v>14.125</v>
      </c>
      <c r="D689">
        <f t="shared" si="52"/>
        <v>16</v>
      </c>
    </row>
    <row r="690" spans="1:4" x14ac:dyDescent="0.2">
      <c r="A690" s="5">
        <f t="shared" si="49"/>
        <v>1.72</v>
      </c>
      <c r="B690">
        <f t="shared" si="51"/>
        <v>43</v>
      </c>
      <c r="C690" s="3">
        <f t="shared" si="50"/>
        <v>14</v>
      </c>
      <c r="D690">
        <f t="shared" si="52"/>
        <v>14</v>
      </c>
    </row>
    <row r="691" spans="1:4" x14ac:dyDescent="0.2">
      <c r="A691" s="5">
        <f t="shared" si="49"/>
        <v>1.7224999999999999</v>
      </c>
      <c r="B691">
        <f t="shared" si="51"/>
        <v>43</v>
      </c>
      <c r="C691" s="3">
        <f t="shared" si="50"/>
        <v>13.875</v>
      </c>
      <c r="D691">
        <f t="shared" si="52"/>
        <v>14</v>
      </c>
    </row>
    <row r="692" spans="1:4" x14ac:dyDescent="0.2">
      <c r="A692" s="5">
        <f t="shared" si="49"/>
        <v>1.7250000000000001</v>
      </c>
      <c r="B692">
        <f t="shared" si="51"/>
        <v>43</v>
      </c>
      <c r="C692" s="3">
        <f t="shared" si="50"/>
        <v>13.75</v>
      </c>
      <c r="D692">
        <f t="shared" si="52"/>
        <v>14</v>
      </c>
    </row>
    <row r="693" spans="1:4" x14ac:dyDescent="0.2">
      <c r="A693" s="5">
        <f t="shared" si="49"/>
        <v>1.7275</v>
      </c>
      <c r="B693">
        <f t="shared" si="51"/>
        <v>43</v>
      </c>
      <c r="C693" s="3">
        <f t="shared" si="50"/>
        <v>13.625</v>
      </c>
      <c r="D693">
        <f t="shared" si="52"/>
        <v>14</v>
      </c>
    </row>
    <row r="694" spans="1:4" x14ac:dyDescent="0.2">
      <c r="A694" s="5">
        <f t="shared" si="49"/>
        <v>1.73</v>
      </c>
      <c r="B694">
        <f t="shared" si="51"/>
        <v>43</v>
      </c>
      <c r="C694" s="3">
        <f t="shared" si="50"/>
        <v>13.5</v>
      </c>
      <c r="D694">
        <f t="shared" si="52"/>
        <v>14</v>
      </c>
    </row>
    <row r="695" spans="1:4" x14ac:dyDescent="0.2">
      <c r="A695" s="5">
        <f t="shared" si="49"/>
        <v>1.7324999999999999</v>
      </c>
      <c r="B695">
        <f t="shared" si="51"/>
        <v>43</v>
      </c>
      <c r="C695" s="3">
        <f t="shared" si="50"/>
        <v>13.375</v>
      </c>
      <c r="D695">
        <f t="shared" si="52"/>
        <v>14</v>
      </c>
    </row>
    <row r="696" spans="1:4" x14ac:dyDescent="0.2">
      <c r="A696" s="5">
        <f t="shared" si="49"/>
        <v>1.7350000000000001</v>
      </c>
      <c r="B696">
        <f t="shared" si="51"/>
        <v>43</v>
      </c>
      <c r="C696" s="3">
        <f t="shared" si="50"/>
        <v>13.25</v>
      </c>
      <c r="D696">
        <f t="shared" si="52"/>
        <v>14</v>
      </c>
    </row>
    <row r="697" spans="1:4" x14ac:dyDescent="0.2">
      <c r="A697" s="5">
        <f t="shared" si="49"/>
        <v>1.7375</v>
      </c>
      <c r="B697">
        <f t="shared" si="51"/>
        <v>43</v>
      </c>
      <c r="C697" s="3">
        <f t="shared" si="50"/>
        <v>13.125</v>
      </c>
      <c r="D697">
        <f t="shared" si="52"/>
        <v>14</v>
      </c>
    </row>
    <row r="698" spans="1:4" x14ac:dyDescent="0.2">
      <c r="A698" s="5">
        <f t="shared" si="49"/>
        <v>1.74</v>
      </c>
      <c r="B698">
        <f t="shared" si="51"/>
        <v>43</v>
      </c>
      <c r="C698" s="3">
        <f t="shared" si="50"/>
        <v>13</v>
      </c>
      <c r="D698">
        <f t="shared" si="52"/>
        <v>14</v>
      </c>
    </row>
    <row r="699" spans="1:4" x14ac:dyDescent="0.2">
      <c r="A699" s="5">
        <f t="shared" si="49"/>
        <v>1.7424999999999999</v>
      </c>
      <c r="B699">
        <f t="shared" si="51"/>
        <v>43</v>
      </c>
      <c r="C699" s="3">
        <f t="shared" si="50"/>
        <v>12.875</v>
      </c>
      <c r="D699">
        <f t="shared" si="52"/>
        <v>14</v>
      </c>
    </row>
    <row r="700" spans="1:4" x14ac:dyDescent="0.2">
      <c r="A700" s="5">
        <f t="shared" si="49"/>
        <v>1.7450000000000001</v>
      </c>
      <c r="B700">
        <f t="shared" si="51"/>
        <v>43</v>
      </c>
      <c r="C700" s="3">
        <f t="shared" si="50"/>
        <v>12.75</v>
      </c>
      <c r="D700">
        <f t="shared" si="52"/>
        <v>14</v>
      </c>
    </row>
    <row r="701" spans="1:4" x14ac:dyDescent="0.2">
      <c r="A701" s="5">
        <f t="shared" si="49"/>
        <v>1.7475000000000001</v>
      </c>
      <c r="B701">
        <f t="shared" si="51"/>
        <v>43</v>
      </c>
      <c r="C701" s="3">
        <f t="shared" si="50"/>
        <v>12.625</v>
      </c>
      <c r="D701">
        <f t="shared" si="52"/>
        <v>14</v>
      </c>
    </row>
    <row r="702" spans="1:4" x14ac:dyDescent="0.2">
      <c r="A702" s="5">
        <f t="shared" si="49"/>
        <v>1.75</v>
      </c>
      <c r="B702">
        <f t="shared" si="51"/>
        <v>43</v>
      </c>
      <c r="C702" s="3">
        <f t="shared" si="50"/>
        <v>12.5</v>
      </c>
      <c r="D702">
        <f t="shared" si="52"/>
        <v>14</v>
      </c>
    </row>
    <row r="703" spans="1:4" x14ac:dyDescent="0.2">
      <c r="A703" s="5">
        <f t="shared" si="49"/>
        <v>1.7524999999999999</v>
      </c>
      <c r="B703">
        <f t="shared" si="51"/>
        <v>43</v>
      </c>
      <c r="C703" s="3">
        <f t="shared" si="50"/>
        <v>12.375</v>
      </c>
      <c r="D703">
        <f t="shared" si="52"/>
        <v>14</v>
      </c>
    </row>
    <row r="704" spans="1:4" x14ac:dyDescent="0.2">
      <c r="A704" s="5">
        <f t="shared" si="49"/>
        <v>1.7549999999999999</v>
      </c>
      <c r="B704">
        <f t="shared" si="51"/>
        <v>43</v>
      </c>
      <c r="C704" s="3">
        <f t="shared" si="50"/>
        <v>12.25</v>
      </c>
      <c r="D704">
        <f t="shared" si="52"/>
        <v>14</v>
      </c>
    </row>
    <row r="705" spans="1:4" x14ac:dyDescent="0.2">
      <c r="A705" s="5">
        <f t="shared" si="49"/>
        <v>1.7575000000000001</v>
      </c>
      <c r="B705">
        <f t="shared" si="51"/>
        <v>43</v>
      </c>
      <c r="C705" s="3">
        <f t="shared" si="50"/>
        <v>12.125</v>
      </c>
      <c r="D705">
        <f t="shared" si="52"/>
        <v>14</v>
      </c>
    </row>
    <row r="706" spans="1:4" x14ac:dyDescent="0.2">
      <c r="A706" s="5">
        <f t="shared" si="49"/>
        <v>1.76</v>
      </c>
      <c r="B706">
        <f t="shared" si="51"/>
        <v>44</v>
      </c>
      <c r="C706" s="3">
        <f t="shared" si="50"/>
        <v>12</v>
      </c>
      <c r="D706">
        <f t="shared" si="52"/>
        <v>12</v>
      </c>
    </row>
    <row r="707" spans="1:4" x14ac:dyDescent="0.2">
      <c r="A707" s="5">
        <f t="shared" ref="A707:A770" si="53">(ROW()-2)/400</f>
        <v>1.7625</v>
      </c>
      <c r="B707">
        <f t="shared" si="51"/>
        <v>44</v>
      </c>
      <c r="C707" s="3">
        <f t="shared" si="50"/>
        <v>11.875</v>
      </c>
      <c r="D707">
        <f t="shared" si="52"/>
        <v>12</v>
      </c>
    </row>
    <row r="708" spans="1:4" x14ac:dyDescent="0.2">
      <c r="A708" s="5">
        <f t="shared" si="53"/>
        <v>1.7649999999999999</v>
      </c>
      <c r="B708">
        <f t="shared" si="51"/>
        <v>44</v>
      </c>
      <c r="C708" s="3">
        <f t="shared" si="50"/>
        <v>11.75</v>
      </c>
      <c r="D708">
        <f t="shared" si="52"/>
        <v>12</v>
      </c>
    </row>
    <row r="709" spans="1:4" x14ac:dyDescent="0.2">
      <c r="A709" s="5">
        <f t="shared" si="53"/>
        <v>1.7675000000000001</v>
      </c>
      <c r="B709">
        <f t="shared" si="51"/>
        <v>44</v>
      </c>
      <c r="C709" s="3">
        <f t="shared" si="50"/>
        <v>11.625</v>
      </c>
      <c r="D709">
        <f t="shared" si="52"/>
        <v>12</v>
      </c>
    </row>
    <row r="710" spans="1:4" x14ac:dyDescent="0.2">
      <c r="A710" s="5">
        <f t="shared" si="53"/>
        <v>1.77</v>
      </c>
      <c r="B710">
        <f t="shared" si="51"/>
        <v>44</v>
      </c>
      <c r="C710" s="3">
        <f t="shared" si="50"/>
        <v>11.5</v>
      </c>
      <c r="D710">
        <f t="shared" si="52"/>
        <v>12</v>
      </c>
    </row>
    <row r="711" spans="1:4" x14ac:dyDescent="0.2">
      <c r="A711" s="5">
        <f t="shared" si="53"/>
        <v>1.7725</v>
      </c>
      <c r="B711">
        <f t="shared" si="51"/>
        <v>44</v>
      </c>
      <c r="C711" s="3">
        <f t="shared" si="50"/>
        <v>11.375</v>
      </c>
      <c r="D711">
        <f t="shared" si="52"/>
        <v>12</v>
      </c>
    </row>
    <row r="712" spans="1:4" x14ac:dyDescent="0.2">
      <c r="A712" s="5">
        <f t="shared" si="53"/>
        <v>1.7749999999999999</v>
      </c>
      <c r="B712">
        <f t="shared" si="51"/>
        <v>44</v>
      </c>
      <c r="C712" s="3">
        <f t="shared" si="50"/>
        <v>11.25</v>
      </c>
      <c r="D712">
        <f t="shared" si="52"/>
        <v>12</v>
      </c>
    </row>
    <row r="713" spans="1:4" x14ac:dyDescent="0.2">
      <c r="A713" s="5">
        <f t="shared" si="53"/>
        <v>1.7775000000000001</v>
      </c>
      <c r="B713">
        <f t="shared" si="51"/>
        <v>44</v>
      </c>
      <c r="C713" s="3">
        <f t="shared" si="50"/>
        <v>11.125</v>
      </c>
      <c r="D713">
        <f t="shared" si="52"/>
        <v>12</v>
      </c>
    </row>
    <row r="714" spans="1:4" x14ac:dyDescent="0.2">
      <c r="A714" s="5">
        <f t="shared" si="53"/>
        <v>1.78</v>
      </c>
      <c r="B714">
        <f t="shared" si="51"/>
        <v>44</v>
      </c>
      <c r="C714" s="3">
        <f t="shared" si="50"/>
        <v>11</v>
      </c>
      <c r="D714">
        <f t="shared" si="52"/>
        <v>12</v>
      </c>
    </row>
    <row r="715" spans="1:4" x14ac:dyDescent="0.2">
      <c r="A715" s="5">
        <f t="shared" si="53"/>
        <v>1.7825</v>
      </c>
      <c r="B715">
        <f t="shared" si="51"/>
        <v>44</v>
      </c>
      <c r="C715" s="3">
        <f t="shared" si="50"/>
        <v>10.875</v>
      </c>
      <c r="D715">
        <f t="shared" si="52"/>
        <v>12</v>
      </c>
    </row>
    <row r="716" spans="1:4" x14ac:dyDescent="0.2">
      <c r="A716" s="5">
        <f t="shared" si="53"/>
        <v>1.7849999999999999</v>
      </c>
      <c r="B716">
        <f t="shared" si="51"/>
        <v>44</v>
      </c>
      <c r="C716" s="3">
        <f t="shared" si="50"/>
        <v>10.75</v>
      </c>
      <c r="D716">
        <f t="shared" si="52"/>
        <v>12</v>
      </c>
    </row>
    <row r="717" spans="1:4" x14ac:dyDescent="0.2">
      <c r="A717" s="5">
        <f t="shared" si="53"/>
        <v>1.7875000000000001</v>
      </c>
      <c r="B717">
        <f t="shared" si="51"/>
        <v>44</v>
      </c>
      <c r="C717" s="3">
        <f t="shared" si="50"/>
        <v>10.625</v>
      </c>
      <c r="D717">
        <f t="shared" si="52"/>
        <v>12</v>
      </c>
    </row>
    <row r="718" spans="1:4" x14ac:dyDescent="0.2">
      <c r="A718" s="5">
        <f t="shared" si="53"/>
        <v>1.79</v>
      </c>
      <c r="B718">
        <f t="shared" si="51"/>
        <v>44</v>
      </c>
      <c r="C718" s="3">
        <f t="shared" si="50"/>
        <v>10.5</v>
      </c>
      <c r="D718">
        <f t="shared" si="52"/>
        <v>12</v>
      </c>
    </row>
    <row r="719" spans="1:4" x14ac:dyDescent="0.2">
      <c r="A719" s="5">
        <f t="shared" si="53"/>
        <v>1.7925</v>
      </c>
      <c r="B719">
        <f t="shared" si="51"/>
        <v>44</v>
      </c>
      <c r="C719" s="3">
        <f t="shared" ref="C719:C782" si="54">100-(A719/2*100)</f>
        <v>10.375</v>
      </c>
      <c r="D719">
        <f t="shared" si="52"/>
        <v>12</v>
      </c>
    </row>
    <row r="720" spans="1:4" x14ac:dyDescent="0.2">
      <c r="A720" s="5">
        <f t="shared" si="53"/>
        <v>1.7949999999999999</v>
      </c>
      <c r="B720">
        <f t="shared" si="51"/>
        <v>44</v>
      </c>
      <c r="C720" s="3">
        <f t="shared" si="54"/>
        <v>10.25</v>
      </c>
      <c r="D720">
        <f t="shared" si="52"/>
        <v>12</v>
      </c>
    </row>
    <row r="721" spans="1:4" x14ac:dyDescent="0.2">
      <c r="A721" s="5">
        <f t="shared" si="53"/>
        <v>1.7975000000000001</v>
      </c>
      <c r="B721">
        <f t="shared" si="51"/>
        <v>44</v>
      </c>
      <c r="C721" s="3">
        <f t="shared" si="54"/>
        <v>10.125</v>
      </c>
      <c r="D721">
        <f t="shared" si="52"/>
        <v>12</v>
      </c>
    </row>
    <row r="722" spans="1:4" x14ac:dyDescent="0.2">
      <c r="A722" s="5">
        <f t="shared" si="53"/>
        <v>1.8</v>
      </c>
      <c r="B722">
        <f t="shared" si="51"/>
        <v>45</v>
      </c>
      <c r="C722" s="3">
        <f t="shared" si="54"/>
        <v>10</v>
      </c>
      <c r="D722">
        <f t="shared" si="52"/>
        <v>10</v>
      </c>
    </row>
    <row r="723" spans="1:4" x14ac:dyDescent="0.2">
      <c r="A723" s="5">
        <f t="shared" si="53"/>
        <v>1.8025</v>
      </c>
      <c r="B723">
        <f t="shared" si="51"/>
        <v>45</v>
      </c>
      <c r="C723" s="3">
        <f t="shared" si="54"/>
        <v>9.875</v>
      </c>
      <c r="D723">
        <f t="shared" si="52"/>
        <v>10</v>
      </c>
    </row>
    <row r="724" spans="1:4" x14ac:dyDescent="0.2">
      <c r="A724" s="5">
        <f t="shared" si="53"/>
        <v>1.8049999999999999</v>
      </c>
      <c r="B724">
        <f t="shared" ref="B724:B787" si="55">_xlfn.FLOOR.MATH(A724*25)</f>
        <v>45</v>
      </c>
      <c r="C724" s="3">
        <f t="shared" si="54"/>
        <v>9.75</v>
      </c>
      <c r="D724">
        <f t="shared" ref="D724:D787" si="56">100-B724*2</f>
        <v>10</v>
      </c>
    </row>
    <row r="725" spans="1:4" x14ac:dyDescent="0.2">
      <c r="A725" s="5">
        <f t="shared" si="53"/>
        <v>1.8075000000000001</v>
      </c>
      <c r="B725">
        <f t="shared" si="55"/>
        <v>45</v>
      </c>
      <c r="C725" s="3">
        <f t="shared" si="54"/>
        <v>9.625</v>
      </c>
      <c r="D725">
        <f t="shared" si="56"/>
        <v>10</v>
      </c>
    </row>
    <row r="726" spans="1:4" x14ac:dyDescent="0.2">
      <c r="A726" s="5">
        <f t="shared" si="53"/>
        <v>1.81</v>
      </c>
      <c r="B726">
        <f t="shared" si="55"/>
        <v>45</v>
      </c>
      <c r="C726" s="3">
        <f t="shared" si="54"/>
        <v>9.5</v>
      </c>
      <c r="D726">
        <f t="shared" si="56"/>
        <v>10</v>
      </c>
    </row>
    <row r="727" spans="1:4" x14ac:dyDescent="0.2">
      <c r="A727" s="5">
        <f t="shared" si="53"/>
        <v>1.8125</v>
      </c>
      <c r="B727">
        <f t="shared" si="55"/>
        <v>45</v>
      </c>
      <c r="C727" s="3">
        <f t="shared" si="54"/>
        <v>9.375</v>
      </c>
      <c r="D727">
        <f t="shared" si="56"/>
        <v>10</v>
      </c>
    </row>
    <row r="728" spans="1:4" x14ac:dyDescent="0.2">
      <c r="A728" s="5">
        <f t="shared" si="53"/>
        <v>1.8149999999999999</v>
      </c>
      <c r="B728">
        <f t="shared" si="55"/>
        <v>45</v>
      </c>
      <c r="C728" s="3">
        <f t="shared" si="54"/>
        <v>9.25</v>
      </c>
      <c r="D728">
        <f t="shared" si="56"/>
        <v>10</v>
      </c>
    </row>
    <row r="729" spans="1:4" x14ac:dyDescent="0.2">
      <c r="A729" s="5">
        <f t="shared" si="53"/>
        <v>1.8174999999999999</v>
      </c>
      <c r="B729">
        <f t="shared" si="55"/>
        <v>45</v>
      </c>
      <c r="C729" s="3">
        <f t="shared" si="54"/>
        <v>9.125</v>
      </c>
      <c r="D729">
        <f t="shared" si="56"/>
        <v>10</v>
      </c>
    </row>
    <row r="730" spans="1:4" x14ac:dyDescent="0.2">
      <c r="A730" s="5">
        <f t="shared" si="53"/>
        <v>1.82</v>
      </c>
      <c r="B730">
        <f t="shared" si="55"/>
        <v>45</v>
      </c>
      <c r="C730" s="3">
        <f t="shared" si="54"/>
        <v>9</v>
      </c>
      <c r="D730">
        <f t="shared" si="56"/>
        <v>10</v>
      </c>
    </row>
    <row r="731" spans="1:4" x14ac:dyDescent="0.2">
      <c r="A731" s="5">
        <f t="shared" si="53"/>
        <v>1.8225</v>
      </c>
      <c r="B731">
        <f t="shared" si="55"/>
        <v>45</v>
      </c>
      <c r="C731" s="3">
        <f t="shared" si="54"/>
        <v>8.875</v>
      </c>
      <c r="D731">
        <f t="shared" si="56"/>
        <v>10</v>
      </c>
    </row>
    <row r="732" spans="1:4" x14ac:dyDescent="0.2">
      <c r="A732" s="5">
        <f t="shared" si="53"/>
        <v>1.825</v>
      </c>
      <c r="B732">
        <f t="shared" si="55"/>
        <v>45</v>
      </c>
      <c r="C732" s="3">
        <f t="shared" si="54"/>
        <v>8.75</v>
      </c>
      <c r="D732">
        <f t="shared" si="56"/>
        <v>10</v>
      </c>
    </row>
    <row r="733" spans="1:4" x14ac:dyDescent="0.2">
      <c r="A733" s="5">
        <f t="shared" si="53"/>
        <v>1.8274999999999999</v>
      </c>
      <c r="B733">
        <f t="shared" si="55"/>
        <v>45</v>
      </c>
      <c r="C733" s="3">
        <f t="shared" si="54"/>
        <v>8.625</v>
      </c>
      <c r="D733">
        <f t="shared" si="56"/>
        <v>10</v>
      </c>
    </row>
    <row r="734" spans="1:4" x14ac:dyDescent="0.2">
      <c r="A734" s="5">
        <f t="shared" si="53"/>
        <v>1.83</v>
      </c>
      <c r="B734">
        <f t="shared" si="55"/>
        <v>45</v>
      </c>
      <c r="C734" s="3">
        <f t="shared" si="54"/>
        <v>8.5</v>
      </c>
      <c r="D734">
        <f t="shared" si="56"/>
        <v>10</v>
      </c>
    </row>
    <row r="735" spans="1:4" x14ac:dyDescent="0.2">
      <c r="A735" s="5">
        <f t="shared" si="53"/>
        <v>1.8325</v>
      </c>
      <c r="B735">
        <f t="shared" si="55"/>
        <v>45</v>
      </c>
      <c r="C735" s="3">
        <f t="shared" si="54"/>
        <v>8.375</v>
      </c>
      <c r="D735">
        <f t="shared" si="56"/>
        <v>10</v>
      </c>
    </row>
    <row r="736" spans="1:4" x14ac:dyDescent="0.2">
      <c r="A736" s="5">
        <f t="shared" si="53"/>
        <v>1.835</v>
      </c>
      <c r="B736">
        <f t="shared" si="55"/>
        <v>45</v>
      </c>
      <c r="C736" s="3">
        <f t="shared" si="54"/>
        <v>8.25</v>
      </c>
      <c r="D736">
        <f t="shared" si="56"/>
        <v>10</v>
      </c>
    </row>
    <row r="737" spans="1:4" x14ac:dyDescent="0.2">
      <c r="A737" s="5">
        <f t="shared" si="53"/>
        <v>1.8374999999999999</v>
      </c>
      <c r="B737">
        <f t="shared" si="55"/>
        <v>45</v>
      </c>
      <c r="C737" s="3">
        <f t="shared" si="54"/>
        <v>8.125</v>
      </c>
      <c r="D737">
        <f t="shared" si="56"/>
        <v>10</v>
      </c>
    </row>
    <row r="738" spans="1:4" x14ac:dyDescent="0.2">
      <c r="A738" s="5">
        <f t="shared" si="53"/>
        <v>1.84</v>
      </c>
      <c r="B738">
        <f t="shared" si="55"/>
        <v>46</v>
      </c>
      <c r="C738" s="3">
        <f t="shared" si="54"/>
        <v>8</v>
      </c>
      <c r="D738">
        <f t="shared" si="56"/>
        <v>8</v>
      </c>
    </row>
    <row r="739" spans="1:4" x14ac:dyDescent="0.2">
      <c r="A739" s="5">
        <f t="shared" si="53"/>
        <v>1.8425</v>
      </c>
      <c r="B739">
        <f t="shared" si="55"/>
        <v>46</v>
      </c>
      <c r="C739" s="3">
        <f t="shared" si="54"/>
        <v>7.875</v>
      </c>
      <c r="D739">
        <f t="shared" si="56"/>
        <v>8</v>
      </c>
    </row>
    <row r="740" spans="1:4" x14ac:dyDescent="0.2">
      <c r="A740" s="5">
        <f t="shared" si="53"/>
        <v>1.845</v>
      </c>
      <c r="B740">
        <f t="shared" si="55"/>
        <v>46</v>
      </c>
      <c r="C740" s="3">
        <f t="shared" si="54"/>
        <v>7.75</v>
      </c>
      <c r="D740">
        <f t="shared" si="56"/>
        <v>8</v>
      </c>
    </row>
    <row r="741" spans="1:4" x14ac:dyDescent="0.2">
      <c r="A741" s="5">
        <f t="shared" si="53"/>
        <v>1.8474999999999999</v>
      </c>
      <c r="B741">
        <f t="shared" si="55"/>
        <v>46</v>
      </c>
      <c r="C741" s="3">
        <f t="shared" si="54"/>
        <v>7.625</v>
      </c>
      <c r="D741">
        <f t="shared" si="56"/>
        <v>8</v>
      </c>
    </row>
    <row r="742" spans="1:4" x14ac:dyDescent="0.2">
      <c r="A742" s="5">
        <f t="shared" si="53"/>
        <v>1.85</v>
      </c>
      <c r="B742">
        <f t="shared" si="55"/>
        <v>46</v>
      </c>
      <c r="C742" s="3">
        <f t="shared" si="54"/>
        <v>7.5</v>
      </c>
      <c r="D742">
        <f t="shared" si="56"/>
        <v>8</v>
      </c>
    </row>
    <row r="743" spans="1:4" x14ac:dyDescent="0.2">
      <c r="A743" s="5">
        <f t="shared" si="53"/>
        <v>1.8525</v>
      </c>
      <c r="B743">
        <f t="shared" si="55"/>
        <v>46</v>
      </c>
      <c r="C743" s="3">
        <f t="shared" si="54"/>
        <v>7.375</v>
      </c>
      <c r="D743">
        <f t="shared" si="56"/>
        <v>8</v>
      </c>
    </row>
    <row r="744" spans="1:4" x14ac:dyDescent="0.2">
      <c r="A744" s="5">
        <f t="shared" si="53"/>
        <v>1.855</v>
      </c>
      <c r="B744">
        <f t="shared" si="55"/>
        <v>46</v>
      </c>
      <c r="C744" s="3">
        <f t="shared" si="54"/>
        <v>7.25</v>
      </c>
      <c r="D744">
        <f t="shared" si="56"/>
        <v>8</v>
      </c>
    </row>
    <row r="745" spans="1:4" x14ac:dyDescent="0.2">
      <c r="A745" s="5">
        <f t="shared" si="53"/>
        <v>1.8574999999999999</v>
      </c>
      <c r="B745">
        <f t="shared" si="55"/>
        <v>46</v>
      </c>
      <c r="C745" s="3">
        <f t="shared" si="54"/>
        <v>7.125</v>
      </c>
      <c r="D745">
        <f t="shared" si="56"/>
        <v>8</v>
      </c>
    </row>
    <row r="746" spans="1:4" x14ac:dyDescent="0.2">
      <c r="A746" s="5">
        <f t="shared" si="53"/>
        <v>1.86</v>
      </c>
      <c r="B746">
        <f t="shared" si="55"/>
        <v>46</v>
      </c>
      <c r="C746" s="3">
        <f t="shared" si="54"/>
        <v>7</v>
      </c>
      <c r="D746">
        <f t="shared" si="56"/>
        <v>8</v>
      </c>
    </row>
    <row r="747" spans="1:4" x14ac:dyDescent="0.2">
      <c r="A747" s="5">
        <f t="shared" si="53"/>
        <v>1.8625</v>
      </c>
      <c r="B747">
        <f t="shared" si="55"/>
        <v>46</v>
      </c>
      <c r="C747" s="3">
        <f t="shared" si="54"/>
        <v>6.875</v>
      </c>
      <c r="D747">
        <f t="shared" si="56"/>
        <v>8</v>
      </c>
    </row>
    <row r="748" spans="1:4" x14ac:dyDescent="0.2">
      <c r="A748" s="5">
        <f t="shared" si="53"/>
        <v>1.865</v>
      </c>
      <c r="B748">
        <f t="shared" si="55"/>
        <v>46</v>
      </c>
      <c r="C748" s="3">
        <f t="shared" si="54"/>
        <v>6.75</v>
      </c>
      <c r="D748">
        <f t="shared" si="56"/>
        <v>8</v>
      </c>
    </row>
    <row r="749" spans="1:4" x14ac:dyDescent="0.2">
      <c r="A749" s="5">
        <f t="shared" si="53"/>
        <v>1.8674999999999999</v>
      </c>
      <c r="B749">
        <f t="shared" si="55"/>
        <v>46</v>
      </c>
      <c r="C749" s="3">
        <f t="shared" si="54"/>
        <v>6.625</v>
      </c>
      <c r="D749">
        <f t="shared" si="56"/>
        <v>8</v>
      </c>
    </row>
    <row r="750" spans="1:4" x14ac:dyDescent="0.2">
      <c r="A750" s="5">
        <f t="shared" si="53"/>
        <v>1.87</v>
      </c>
      <c r="B750">
        <f t="shared" si="55"/>
        <v>46</v>
      </c>
      <c r="C750" s="3">
        <f t="shared" si="54"/>
        <v>6.5</v>
      </c>
      <c r="D750">
        <f t="shared" si="56"/>
        <v>8</v>
      </c>
    </row>
    <row r="751" spans="1:4" x14ac:dyDescent="0.2">
      <c r="A751" s="5">
        <f t="shared" si="53"/>
        <v>1.8725000000000001</v>
      </c>
      <c r="B751">
        <f t="shared" si="55"/>
        <v>46</v>
      </c>
      <c r="C751" s="3">
        <f t="shared" si="54"/>
        <v>6.375</v>
      </c>
      <c r="D751">
        <f t="shared" si="56"/>
        <v>8</v>
      </c>
    </row>
    <row r="752" spans="1:4" x14ac:dyDescent="0.2">
      <c r="A752" s="5">
        <f t="shared" si="53"/>
        <v>1.875</v>
      </c>
      <c r="B752">
        <f t="shared" si="55"/>
        <v>46</v>
      </c>
      <c r="C752" s="3">
        <f t="shared" si="54"/>
        <v>6.25</v>
      </c>
      <c r="D752">
        <f t="shared" si="56"/>
        <v>8</v>
      </c>
    </row>
    <row r="753" spans="1:4" x14ac:dyDescent="0.2">
      <c r="A753" s="5">
        <f t="shared" si="53"/>
        <v>1.8774999999999999</v>
      </c>
      <c r="B753">
        <f t="shared" si="55"/>
        <v>46</v>
      </c>
      <c r="C753" s="3">
        <f t="shared" si="54"/>
        <v>6.125</v>
      </c>
      <c r="D753">
        <f t="shared" si="56"/>
        <v>8</v>
      </c>
    </row>
    <row r="754" spans="1:4" x14ac:dyDescent="0.2">
      <c r="A754" s="5">
        <f t="shared" si="53"/>
        <v>1.88</v>
      </c>
      <c r="B754">
        <f t="shared" si="55"/>
        <v>47</v>
      </c>
      <c r="C754" s="3">
        <f t="shared" si="54"/>
        <v>6</v>
      </c>
      <c r="D754">
        <f t="shared" si="56"/>
        <v>6</v>
      </c>
    </row>
    <row r="755" spans="1:4" x14ac:dyDescent="0.2">
      <c r="A755" s="5">
        <f t="shared" si="53"/>
        <v>1.8825000000000001</v>
      </c>
      <c r="B755">
        <f t="shared" si="55"/>
        <v>47</v>
      </c>
      <c r="C755" s="3">
        <f t="shared" si="54"/>
        <v>5.875</v>
      </c>
      <c r="D755">
        <f t="shared" si="56"/>
        <v>6</v>
      </c>
    </row>
    <row r="756" spans="1:4" x14ac:dyDescent="0.2">
      <c r="A756" s="5">
        <f t="shared" si="53"/>
        <v>1.885</v>
      </c>
      <c r="B756">
        <f t="shared" si="55"/>
        <v>47</v>
      </c>
      <c r="C756" s="3">
        <f t="shared" si="54"/>
        <v>5.75</v>
      </c>
      <c r="D756">
        <f t="shared" si="56"/>
        <v>6</v>
      </c>
    </row>
    <row r="757" spans="1:4" x14ac:dyDescent="0.2">
      <c r="A757" s="5">
        <f t="shared" si="53"/>
        <v>1.8875</v>
      </c>
      <c r="B757">
        <f t="shared" si="55"/>
        <v>47</v>
      </c>
      <c r="C757" s="3">
        <f t="shared" si="54"/>
        <v>5.625</v>
      </c>
      <c r="D757">
        <f t="shared" si="56"/>
        <v>6</v>
      </c>
    </row>
    <row r="758" spans="1:4" x14ac:dyDescent="0.2">
      <c r="A758" s="5">
        <f t="shared" si="53"/>
        <v>1.89</v>
      </c>
      <c r="B758">
        <f t="shared" si="55"/>
        <v>47</v>
      </c>
      <c r="C758" s="3">
        <f t="shared" si="54"/>
        <v>5.5</v>
      </c>
      <c r="D758">
        <f t="shared" si="56"/>
        <v>6</v>
      </c>
    </row>
    <row r="759" spans="1:4" x14ac:dyDescent="0.2">
      <c r="A759" s="5">
        <f t="shared" si="53"/>
        <v>1.8925000000000001</v>
      </c>
      <c r="B759">
        <f t="shared" si="55"/>
        <v>47</v>
      </c>
      <c r="C759" s="3">
        <f t="shared" si="54"/>
        <v>5.375</v>
      </c>
      <c r="D759">
        <f t="shared" si="56"/>
        <v>6</v>
      </c>
    </row>
    <row r="760" spans="1:4" x14ac:dyDescent="0.2">
      <c r="A760" s="5">
        <f t="shared" si="53"/>
        <v>1.895</v>
      </c>
      <c r="B760">
        <f t="shared" si="55"/>
        <v>47</v>
      </c>
      <c r="C760" s="3">
        <f t="shared" si="54"/>
        <v>5.25</v>
      </c>
      <c r="D760">
        <f t="shared" si="56"/>
        <v>6</v>
      </c>
    </row>
    <row r="761" spans="1:4" x14ac:dyDescent="0.2">
      <c r="A761" s="5">
        <f t="shared" si="53"/>
        <v>1.8975</v>
      </c>
      <c r="B761">
        <f t="shared" si="55"/>
        <v>47</v>
      </c>
      <c r="C761" s="3">
        <f t="shared" si="54"/>
        <v>5.125</v>
      </c>
      <c r="D761">
        <f t="shared" si="56"/>
        <v>6</v>
      </c>
    </row>
    <row r="762" spans="1:4" x14ac:dyDescent="0.2">
      <c r="A762" s="5">
        <f t="shared" si="53"/>
        <v>1.9</v>
      </c>
      <c r="B762">
        <f t="shared" si="55"/>
        <v>47</v>
      </c>
      <c r="C762" s="3">
        <f t="shared" si="54"/>
        <v>5</v>
      </c>
      <c r="D762">
        <f t="shared" si="56"/>
        <v>6</v>
      </c>
    </row>
    <row r="763" spans="1:4" x14ac:dyDescent="0.2">
      <c r="A763" s="5">
        <f t="shared" si="53"/>
        <v>1.9025000000000001</v>
      </c>
      <c r="B763">
        <f t="shared" si="55"/>
        <v>47</v>
      </c>
      <c r="C763" s="3">
        <f t="shared" si="54"/>
        <v>4.875</v>
      </c>
      <c r="D763">
        <f t="shared" si="56"/>
        <v>6</v>
      </c>
    </row>
    <row r="764" spans="1:4" x14ac:dyDescent="0.2">
      <c r="A764" s="5">
        <f t="shared" si="53"/>
        <v>1.905</v>
      </c>
      <c r="B764">
        <f t="shared" si="55"/>
        <v>47</v>
      </c>
      <c r="C764" s="3">
        <f t="shared" si="54"/>
        <v>4.75</v>
      </c>
      <c r="D764">
        <f t="shared" si="56"/>
        <v>6</v>
      </c>
    </row>
    <row r="765" spans="1:4" x14ac:dyDescent="0.2">
      <c r="A765" s="5">
        <f t="shared" si="53"/>
        <v>1.9075</v>
      </c>
      <c r="B765">
        <f t="shared" si="55"/>
        <v>47</v>
      </c>
      <c r="C765" s="3">
        <f t="shared" si="54"/>
        <v>4.625</v>
      </c>
      <c r="D765">
        <f t="shared" si="56"/>
        <v>6</v>
      </c>
    </row>
    <row r="766" spans="1:4" x14ac:dyDescent="0.2">
      <c r="A766" s="5">
        <f t="shared" si="53"/>
        <v>1.91</v>
      </c>
      <c r="B766">
        <f t="shared" si="55"/>
        <v>47</v>
      </c>
      <c r="C766" s="3">
        <f t="shared" si="54"/>
        <v>4.5</v>
      </c>
      <c r="D766">
        <f t="shared" si="56"/>
        <v>6</v>
      </c>
    </row>
    <row r="767" spans="1:4" x14ac:dyDescent="0.2">
      <c r="A767" s="5">
        <f t="shared" si="53"/>
        <v>1.9125000000000001</v>
      </c>
      <c r="B767">
        <f t="shared" si="55"/>
        <v>47</v>
      </c>
      <c r="C767" s="3">
        <f t="shared" si="54"/>
        <v>4.375</v>
      </c>
      <c r="D767">
        <f t="shared" si="56"/>
        <v>6</v>
      </c>
    </row>
    <row r="768" spans="1:4" x14ac:dyDescent="0.2">
      <c r="A768" s="5">
        <f t="shared" si="53"/>
        <v>1.915</v>
      </c>
      <c r="B768">
        <f t="shared" si="55"/>
        <v>47</v>
      </c>
      <c r="C768" s="3">
        <f t="shared" si="54"/>
        <v>4.25</v>
      </c>
      <c r="D768">
        <f t="shared" si="56"/>
        <v>6</v>
      </c>
    </row>
    <row r="769" spans="1:4" x14ac:dyDescent="0.2">
      <c r="A769" s="5">
        <f t="shared" si="53"/>
        <v>1.9175</v>
      </c>
      <c r="B769">
        <f t="shared" si="55"/>
        <v>47</v>
      </c>
      <c r="C769" s="3">
        <f t="shared" si="54"/>
        <v>4.125</v>
      </c>
      <c r="D769">
        <f t="shared" si="56"/>
        <v>6</v>
      </c>
    </row>
    <row r="770" spans="1:4" x14ac:dyDescent="0.2">
      <c r="A770" s="5">
        <f t="shared" si="53"/>
        <v>1.92</v>
      </c>
      <c r="B770">
        <f t="shared" si="55"/>
        <v>48</v>
      </c>
      <c r="C770" s="3">
        <f t="shared" si="54"/>
        <v>4</v>
      </c>
      <c r="D770">
        <f t="shared" si="56"/>
        <v>4</v>
      </c>
    </row>
    <row r="771" spans="1:4" x14ac:dyDescent="0.2">
      <c r="A771" s="5">
        <f t="shared" ref="A771:A802" si="57">(ROW()-2)/400</f>
        <v>1.9225000000000001</v>
      </c>
      <c r="B771">
        <f t="shared" si="55"/>
        <v>48</v>
      </c>
      <c r="C771" s="3">
        <f t="shared" si="54"/>
        <v>3.875</v>
      </c>
      <c r="D771">
        <f t="shared" si="56"/>
        <v>4</v>
      </c>
    </row>
    <row r="772" spans="1:4" x14ac:dyDescent="0.2">
      <c r="A772" s="5">
        <f t="shared" si="57"/>
        <v>1.925</v>
      </c>
      <c r="B772">
        <f t="shared" si="55"/>
        <v>48</v>
      </c>
      <c r="C772" s="3">
        <f t="shared" si="54"/>
        <v>3.75</v>
      </c>
      <c r="D772">
        <f t="shared" si="56"/>
        <v>4</v>
      </c>
    </row>
    <row r="773" spans="1:4" x14ac:dyDescent="0.2">
      <c r="A773" s="5">
        <f t="shared" si="57"/>
        <v>1.9275</v>
      </c>
      <c r="B773">
        <f t="shared" si="55"/>
        <v>48</v>
      </c>
      <c r="C773" s="3">
        <f t="shared" si="54"/>
        <v>3.625</v>
      </c>
      <c r="D773">
        <f t="shared" si="56"/>
        <v>4</v>
      </c>
    </row>
    <row r="774" spans="1:4" x14ac:dyDescent="0.2">
      <c r="A774" s="5">
        <f t="shared" si="57"/>
        <v>1.93</v>
      </c>
      <c r="B774">
        <f t="shared" si="55"/>
        <v>48</v>
      </c>
      <c r="C774" s="3">
        <f t="shared" si="54"/>
        <v>3.5</v>
      </c>
      <c r="D774">
        <f t="shared" si="56"/>
        <v>4</v>
      </c>
    </row>
    <row r="775" spans="1:4" x14ac:dyDescent="0.2">
      <c r="A775" s="5">
        <f t="shared" si="57"/>
        <v>1.9325000000000001</v>
      </c>
      <c r="B775">
        <f t="shared" si="55"/>
        <v>48</v>
      </c>
      <c r="C775" s="3">
        <f t="shared" si="54"/>
        <v>3.375</v>
      </c>
      <c r="D775">
        <f t="shared" si="56"/>
        <v>4</v>
      </c>
    </row>
    <row r="776" spans="1:4" x14ac:dyDescent="0.2">
      <c r="A776" s="5">
        <f t="shared" si="57"/>
        <v>1.9350000000000001</v>
      </c>
      <c r="B776">
        <f t="shared" si="55"/>
        <v>48</v>
      </c>
      <c r="C776" s="3">
        <f t="shared" si="54"/>
        <v>3.25</v>
      </c>
      <c r="D776">
        <f t="shared" si="56"/>
        <v>4</v>
      </c>
    </row>
    <row r="777" spans="1:4" x14ac:dyDescent="0.2">
      <c r="A777" s="5">
        <f t="shared" si="57"/>
        <v>1.9375</v>
      </c>
      <c r="B777">
        <f t="shared" si="55"/>
        <v>48</v>
      </c>
      <c r="C777" s="3">
        <f t="shared" si="54"/>
        <v>3.125</v>
      </c>
      <c r="D777">
        <f t="shared" si="56"/>
        <v>4</v>
      </c>
    </row>
    <row r="778" spans="1:4" x14ac:dyDescent="0.2">
      <c r="A778" s="5">
        <f t="shared" si="57"/>
        <v>1.94</v>
      </c>
      <c r="B778">
        <f t="shared" si="55"/>
        <v>48</v>
      </c>
      <c r="C778" s="3">
        <f t="shared" si="54"/>
        <v>3</v>
      </c>
      <c r="D778">
        <f t="shared" si="56"/>
        <v>4</v>
      </c>
    </row>
    <row r="779" spans="1:4" x14ac:dyDescent="0.2">
      <c r="A779" s="5">
        <f t="shared" si="57"/>
        <v>1.9424999999999999</v>
      </c>
      <c r="B779">
        <f t="shared" si="55"/>
        <v>48</v>
      </c>
      <c r="C779" s="3">
        <f t="shared" si="54"/>
        <v>2.875</v>
      </c>
      <c r="D779">
        <f t="shared" si="56"/>
        <v>4</v>
      </c>
    </row>
    <row r="780" spans="1:4" x14ac:dyDescent="0.2">
      <c r="A780" s="5">
        <f t="shared" si="57"/>
        <v>1.9450000000000001</v>
      </c>
      <c r="B780">
        <f t="shared" si="55"/>
        <v>48</v>
      </c>
      <c r="C780" s="3">
        <f t="shared" si="54"/>
        <v>2.75</v>
      </c>
      <c r="D780">
        <f t="shared" si="56"/>
        <v>4</v>
      </c>
    </row>
    <row r="781" spans="1:4" x14ac:dyDescent="0.2">
      <c r="A781" s="5">
        <f t="shared" si="57"/>
        <v>1.9475</v>
      </c>
      <c r="B781">
        <f t="shared" si="55"/>
        <v>48</v>
      </c>
      <c r="C781" s="3">
        <f t="shared" si="54"/>
        <v>2.625</v>
      </c>
      <c r="D781">
        <f t="shared" si="56"/>
        <v>4</v>
      </c>
    </row>
    <row r="782" spans="1:4" x14ac:dyDescent="0.2">
      <c r="A782" s="5">
        <f t="shared" si="57"/>
        <v>1.95</v>
      </c>
      <c r="B782">
        <f t="shared" si="55"/>
        <v>48</v>
      </c>
      <c r="C782" s="3">
        <f t="shared" si="54"/>
        <v>2.5</v>
      </c>
      <c r="D782">
        <f t="shared" si="56"/>
        <v>4</v>
      </c>
    </row>
    <row r="783" spans="1:4" x14ac:dyDescent="0.2">
      <c r="A783" s="5">
        <f t="shared" si="57"/>
        <v>1.9524999999999999</v>
      </c>
      <c r="B783">
        <f t="shared" si="55"/>
        <v>48</v>
      </c>
      <c r="C783" s="3">
        <f t="shared" ref="C783:C802" si="58">100-(A783/2*100)</f>
        <v>2.375</v>
      </c>
      <c r="D783">
        <f t="shared" si="56"/>
        <v>4</v>
      </c>
    </row>
    <row r="784" spans="1:4" x14ac:dyDescent="0.2">
      <c r="A784" s="5">
        <f t="shared" si="57"/>
        <v>1.9550000000000001</v>
      </c>
      <c r="B784">
        <f t="shared" si="55"/>
        <v>48</v>
      </c>
      <c r="C784" s="3">
        <f t="shared" si="58"/>
        <v>2.25</v>
      </c>
      <c r="D784">
        <f t="shared" si="56"/>
        <v>4</v>
      </c>
    </row>
    <row r="785" spans="1:4" x14ac:dyDescent="0.2">
      <c r="A785" s="5">
        <f t="shared" si="57"/>
        <v>1.9575</v>
      </c>
      <c r="B785">
        <f t="shared" si="55"/>
        <v>48</v>
      </c>
      <c r="C785" s="3">
        <f t="shared" si="58"/>
        <v>2.125</v>
      </c>
      <c r="D785">
        <f t="shared" si="56"/>
        <v>4</v>
      </c>
    </row>
    <row r="786" spans="1:4" x14ac:dyDescent="0.2">
      <c r="A786" s="5">
        <f t="shared" si="57"/>
        <v>1.96</v>
      </c>
      <c r="B786">
        <f t="shared" si="55"/>
        <v>49</v>
      </c>
      <c r="C786" s="3">
        <f t="shared" si="58"/>
        <v>2</v>
      </c>
      <c r="D786">
        <f t="shared" si="56"/>
        <v>2</v>
      </c>
    </row>
    <row r="787" spans="1:4" x14ac:dyDescent="0.2">
      <c r="A787" s="5">
        <f t="shared" si="57"/>
        <v>1.9624999999999999</v>
      </c>
      <c r="B787">
        <f t="shared" si="55"/>
        <v>49</v>
      </c>
      <c r="C787" s="3">
        <f t="shared" si="58"/>
        <v>1.875</v>
      </c>
      <c r="D787">
        <f t="shared" si="56"/>
        <v>2</v>
      </c>
    </row>
    <row r="788" spans="1:4" x14ac:dyDescent="0.2">
      <c r="A788" s="5">
        <f t="shared" si="57"/>
        <v>1.9650000000000001</v>
      </c>
      <c r="B788">
        <f t="shared" ref="B788:B802" si="59">_xlfn.FLOOR.MATH(A788*25)</f>
        <v>49</v>
      </c>
      <c r="C788" s="3">
        <f t="shared" si="58"/>
        <v>1.75</v>
      </c>
      <c r="D788">
        <f t="shared" ref="D788:D802" si="60">100-B788*2</f>
        <v>2</v>
      </c>
    </row>
    <row r="789" spans="1:4" x14ac:dyDescent="0.2">
      <c r="A789" s="5">
        <f t="shared" si="57"/>
        <v>1.9675</v>
      </c>
      <c r="B789">
        <f t="shared" si="59"/>
        <v>49</v>
      </c>
      <c r="C789" s="3">
        <f t="shared" si="58"/>
        <v>1.625</v>
      </c>
      <c r="D789">
        <f t="shared" si="60"/>
        <v>2</v>
      </c>
    </row>
    <row r="790" spans="1:4" x14ac:dyDescent="0.2">
      <c r="A790" s="5">
        <f t="shared" si="57"/>
        <v>1.97</v>
      </c>
      <c r="B790">
        <f t="shared" si="59"/>
        <v>49</v>
      </c>
      <c r="C790" s="3">
        <f t="shared" si="58"/>
        <v>1.5</v>
      </c>
      <c r="D790">
        <f t="shared" si="60"/>
        <v>2</v>
      </c>
    </row>
    <row r="791" spans="1:4" x14ac:dyDescent="0.2">
      <c r="A791" s="5">
        <f t="shared" si="57"/>
        <v>1.9724999999999999</v>
      </c>
      <c r="B791">
        <f t="shared" si="59"/>
        <v>49</v>
      </c>
      <c r="C791" s="3">
        <f t="shared" si="58"/>
        <v>1.375</v>
      </c>
      <c r="D791">
        <f t="shared" si="60"/>
        <v>2</v>
      </c>
    </row>
    <row r="792" spans="1:4" x14ac:dyDescent="0.2">
      <c r="A792" s="5">
        <f t="shared" si="57"/>
        <v>1.9750000000000001</v>
      </c>
      <c r="B792">
        <f t="shared" si="59"/>
        <v>49</v>
      </c>
      <c r="C792" s="3">
        <f t="shared" si="58"/>
        <v>1.25</v>
      </c>
      <c r="D792">
        <f t="shared" si="60"/>
        <v>2</v>
      </c>
    </row>
    <row r="793" spans="1:4" x14ac:dyDescent="0.2">
      <c r="A793" s="5">
        <f t="shared" si="57"/>
        <v>1.9775</v>
      </c>
      <c r="B793">
        <f t="shared" si="59"/>
        <v>49</v>
      </c>
      <c r="C793" s="3">
        <f t="shared" si="58"/>
        <v>1.125</v>
      </c>
      <c r="D793">
        <f t="shared" si="60"/>
        <v>2</v>
      </c>
    </row>
    <row r="794" spans="1:4" x14ac:dyDescent="0.2">
      <c r="A794" s="5">
        <f t="shared" si="57"/>
        <v>1.98</v>
      </c>
      <c r="B794">
        <f t="shared" si="59"/>
        <v>49</v>
      </c>
      <c r="C794" s="3">
        <f t="shared" si="58"/>
        <v>1</v>
      </c>
      <c r="D794">
        <f t="shared" si="60"/>
        <v>2</v>
      </c>
    </row>
    <row r="795" spans="1:4" x14ac:dyDescent="0.2">
      <c r="A795" s="5">
        <f t="shared" si="57"/>
        <v>1.9824999999999999</v>
      </c>
      <c r="B795">
        <f t="shared" si="59"/>
        <v>49</v>
      </c>
      <c r="C795" s="3">
        <f t="shared" si="58"/>
        <v>0.875</v>
      </c>
      <c r="D795">
        <f t="shared" si="60"/>
        <v>2</v>
      </c>
    </row>
    <row r="796" spans="1:4" x14ac:dyDescent="0.2">
      <c r="A796" s="5">
        <f t="shared" si="57"/>
        <v>1.9850000000000001</v>
      </c>
      <c r="B796">
        <f t="shared" si="59"/>
        <v>49</v>
      </c>
      <c r="C796" s="3">
        <f t="shared" si="58"/>
        <v>0.75</v>
      </c>
      <c r="D796">
        <f t="shared" si="60"/>
        <v>2</v>
      </c>
    </row>
    <row r="797" spans="1:4" x14ac:dyDescent="0.2">
      <c r="A797" s="5">
        <f t="shared" si="57"/>
        <v>1.9875</v>
      </c>
      <c r="B797">
        <f t="shared" si="59"/>
        <v>49</v>
      </c>
      <c r="C797" s="3">
        <f t="shared" si="58"/>
        <v>0.625</v>
      </c>
      <c r="D797">
        <f t="shared" si="60"/>
        <v>2</v>
      </c>
    </row>
    <row r="798" spans="1:4" x14ac:dyDescent="0.2">
      <c r="A798" s="5">
        <f t="shared" si="57"/>
        <v>1.99</v>
      </c>
      <c r="B798">
        <f t="shared" si="59"/>
        <v>49</v>
      </c>
      <c r="C798" s="3">
        <f t="shared" si="58"/>
        <v>0.5</v>
      </c>
      <c r="D798">
        <f t="shared" si="60"/>
        <v>2</v>
      </c>
    </row>
    <row r="799" spans="1:4" x14ac:dyDescent="0.2">
      <c r="A799" s="5">
        <f t="shared" si="57"/>
        <v>1.9924999999999999</v>
      </c>
      <c r="B799">
        <f t="shared" si="59"/>
        <v>49</v>
      </c>
      <c r="C799" s="3">
        <f t="shared" si="58"/>
        <v>0.375</v>
      </c>
      <c r="D799">
        <f t="shared" si="60"/>
        <v>2</v>
      </c>
    </row>
    <row r="800" spans="1:4" x14ac:dyDescent="0.2">
      <c r="A800" s="5">
        <f t="shared" si="57"/>
        <v>1.9950000000000001</v>
      </c>
      <c r="B800">
        <f t="shared" si="59"/>
        <v>49</v>
      </c>
      <c r="C800" s="3">
        <f t="shared" si="58"/>
        <v>0.25</v>
      </c>
      <c r="D800">
        <f t="shared" si="60"/>
        <v>2</v>
      </c>
    </row>
    <row r="801" spans="1:4" x14ac:dyDescent="0.2">
      <c r="A801" s="5">
        <f t="shared" si="57"/>
        <v>1.9975000000000001</v>
      </c>
      <c r="B801">
        <f t="shared" si="59"/>
        <v>49</v>
      </c>
      <c r="C801" s="3">
        <f t="shared" si="58"/>
        <v>0.125</v>
      </c>
      <c r="D801">
        <f t="shared" si="60"/>
        <v>2</v>
      </c>
    </row>
    <row r="802" spans="1:4" x14ac:dyDescent="0.2">
      <c r="A802" s="5">
        <f t="shared" si="57"/>
        <v>2</v>
      </c>
      <c r="B802">
        <f t="shared" si="59"/>
        <v>50</v>
      </c>
      <c r="C802" s="3">
        <f t="shared" si="58"/>
        <v>0</v>
      </c>
      <c r="D802">
        <f t="shared" si="60"/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74B0F-2588-6247-85EA-5DBC824661B0}">
  <dimension ref="A1:H201"/>
  <sheetViews>
    <sheetView workbookViewId="0">
      <selection activeCell="H2" sqref="H2"/>
    </sheetView>
  </sheetViews>
  <sheetFormatPr baseColWidth="10" defaultRowHeight="16" x14ac:dyDescent="0.2"/>
  <cols>
    <col min="1" max="1" width="8.6640625" customWidth="1"/>
    <col min="2" max="2" width="8.33203125" customWidth="1"/>
    <col min="3" max="3" width="19.83203125" customWidth="1"/>
  </cols>
  <sheetData>
    <row r="1" spans="1:8" x14ac:dyDescent="0.2">
      <c r="A1" s="16" t="s">
        <v>138</v>
      </c>
      <c r="B1" s="16" t="s">
        <v>136</v>
      </c>
      <c r="C1" s="16" t="s">
        <v>137</v>
      </c>
    </row>
    <row r="2" spans="1:8" x14ac:dyDescent="0.2">
      <c r="A2">
        <v>0</v>
      </c>
      <c r="B2">
        <v>0</v>
      </c>
      <c r="C2" t="s">
        <v>125</v>
      </c>
      <c r="E2" cm="1">
        <f t="array" ref="E2:E201">_xlfn.SEQUENCE(200,1,0,1)</f>
        <v>0</v>
      </c>
      <c r="F2" cm="1">
        <f t="array" ref="F2:F201">_xlfn.ANCHORARRAY(E2)/2</f>
        <v>0</v>
      </c>
      <c r="G2" t="str" cm="1">
        <f t="array" ref="G2:G201">IF(_xlfn.ANCHORARRAY(E2)=0,"no",TRUNC(_xlfn.ANCHORARRAY(E2)/2)) &amp; IF((_xlfn.ANCHORARRAY(E2)&gt;=3)*MOD(_xlfn.ANCHORARRAY(E2),2)," and","") &amp; IF(MOD(_xlfn.ANCHORARRAY(E2),2)," a half","") &amp; " heart" &amp; IF((_xlfn.ANCHORARRAY(E2)=0)+(_xlfn.ANCHORARRAY(E2)&gt;2),"s","")</f>
        <v>no hearts</v>
      </c>
      <c r="H2" t="str" cm="1">
        <f t="array" ref="H2:H201">_xlfn.IFS(_xlfn.ANCHORARRAY(E2)=0,"no hearts",_xlfn.ANCHORARRAY(E2)=1,"half a heart",_xlfn.ANCHORARRAY(E2)=2,"1 heart",MOD(_xlfn.ANCHORARRAY(E2),2),TRUNC(_xlfn.ANCHORARRAY(E2)/2)&amp;" and a half hearts",TRUE,TRUNC(_xlfn.ANCHORARRAY(E2)/2)&amp;" hearts")</f>
        <v>no hearts</v>
      </c>
    </row>
    <row r="3" spans="1:8" x14ac:dyDescent="0.2">
      <c r="A3">
        <v>1</v>
      </c>
      <c r="B3">
        <v>0.5</v>
      </c>
      <c r="C3" t="s">
        <v>124</v>
      </c>
      <c r="E3">
        <v>1</v>
      </c>
      <c r="F3">
        <v>0.5</v>
      </c>
      <c r="G3" t="str">
        <v>0 a half heart</v>
      </c>
      <c r="H3" t="str">
        <v>half a heart</v>
      </c>
    </row>
    <row r="4" spans="1:8" x14ac:dyDescent="0.2">
      <c r="A4">
        <v>2</v>
      </c>
      <c r="B4">
        <v>1</v>
      </c>
      <c r="C4" t="str">
        <f>B4&amp;" heart"</f>
        <v>1 heart</v>
      </c>
      <c r="E4">
        <v>2</v>
      </c>
      <c r="F4">
        <v>1</v>
      </c>
      <c r="G4" t="str">
        <v>1 heart</v>
      </c>
      <c r="H4" t="str">
        <v>1 heart</v>
      </c>
    </row>
    <row r="5" spans="1:8" x14ac:dyDescent="0.2">
      <c r="A5">
        <v>3</v>
      </c>
      <c r="B5">
        <v>1.5</v>
      </c>
      <c r="C5" t="str">
        <f>TRUNC(B5)&amp;" and a half hearts"</f>
        <v>1 and a half hearts</v>
      </c>
      <c r="E5">
        <v>3</v>
      </c>
      <c r="F5">
        <v>1.5</v>
      </c>
      <c r="G5" t="str">
        <v>1 and a half hearts</v>
      </c>
      <c r="H5" t="str">
        <v>1 and a half hearts</v>
      </c>
    </row>
    <row r="6" spans="1:8" x14ac:dyDescent="0.2">
      <c r="A6">
        <v>4</v>
      </c>
      <c r="B6">
        <v>2</v>
      </c>
      <c r="C6" t="str">
        <f>B6&amp;" hearts"</f>
        <v>2 hearts</v>
      </c>
      <c r="E6">
        <v>4</v>
      </c>
      <c r="F6">
        <v>2</v>
      </c>
      <c r="G6" t="str">
        <v>2 hearts</v>
      </c>
      <c r="H6" t="str">
        <v>2 hearts</v>
      </c>
    </row>
    <row r="7" spans="1:8" x14ac:dyDescent="0.2">
      <c r="A7">
        <v>5</v>
      </c>
      <c r="B7">
        <v>2.5</v>
      </c>
      <c r="C7" t="str">
        <f>TRUNC(B7)&amp;" and a half hearts"</f>
        <v>2 and a half hearts</v>
      </c>
      <c r="E7">
        <v>5</v>
      </c>
      <c r="F7">
        <v>2.5</v>
      </c>
      <c r="G7" t="str">
        <v>2 and a half hearts</v>
      </c>
      <c r="H7" t="str">
        <v>2 and a half hearts</v>
      </c>
    </row>
    <row r="8" spans="1:8" x14ac:dyDescent="0.2">
      <c r="A8">
        <v>6</v>
      </c>
      <c r="B8">
        <v>3</v>
      </c>
      <c r="C8" t="str">
        <f>B8&amp;" hearts"</f>
        <v>3 hearts</v>
      </c>
      <c r="E8">
        <v>6</v>
      </c>
      <c r="F8">
        <v>3</v>
      </c>
      <c r="G8" t="str">
        <v>3 hearts</v>
      </c>
      <c r="H8" t="str">
        <v>3 hearts</v>
      </c>
    </row>
    <row r="9" spans="1:8" x14ac:dyDescent="0.2">
      <c r="A9">
        <v>7</v>
      </c>
      <c r="B9">
        <v>3.5</v>
      </c>
      <c r="C9" t="str">
        <f>TRUNC(B9)&amp;" and a half hearts"</f>
        <v>3 and a half hearts</v>
      </c>
      <c r="E9">
        <v>7</v>
      </c>
      <c r="F9">
        <v>3.5</v>
      </c>
      <c r="G9" t="str">
        <v>3 and a half hearts</v>
      </c>
      <c r="H9" t="str">
        <v>3 and a half hearts</v>
      </c>
    </row>
    <row r="10" spans="1:8" x14ac:dyDescent="0.2">
      <c r="A10">
        <v>8</v>
      </c>
      <c r="B10">
        <v>4</v>
      </c>
      <c r="C10" t="str">
        <f>B10&amp;" hearts"</f>
        <v>4 hearts</v>
      </c>
      <c r="E10">
        <v>8</v>
      </c>
      <c r="F10">
        <v>4</v>
      </c>
      <c r="G10" t="str">
        <v>4 hearts</v>
      </c>
      <c r="H10" t="str">
        <v>4 hearts</v>
      </c>
    </row>
    <row r="11" spans="1:8" x14ac:dyDescent="0.2">
      <c r="A11">
        <v>9</v>
      </c>
      <c r="B11">
        <v>4.5</v>
      </c>
      <c r="C11" t="str">
        <f>TRUNC(B11)&amp;" and a half hearts"</f>
        <v>4 and a half hearts</v>
      </c>
      <c r="E11">
        <v>9</v>
      </c>
      <c r="F11">
        <v>4.5</v>
      </c>
      <c r="G11" t="str">
        <v>4 and a half hearts</v>
      </c>
      <c r="H11" t="str">
        <v>4 and a half hearts</v>
      </c>
    </row>
    <row r="12" spans="1:8" x14ac:dyDescent="0.2">
      <c r="A12">
        <v>10</v>
      </c>
      <c r="B12">
        <v>5</v>
      </c>
      <c r="C12" t="str">
        <f>B12&amp;" hearts"</f>
        <v>5 hearts</v>
      </c>
      <c r="E12">
        <v>10</v>
      </c>
      <c r="F12">
        <v>5</v>
      </c>
      <c r="G12" t="str">
        <v>5 hearts</v>
      </c>
      <c r="H12" t="str">
        <v>5 hearts</v>
      </c>
    </row>
    <row r="13" spans="1:8" x14ac:dyDescent="0.2">
      <c r="A13">
        <v>11</v>
      </c>
      <c r="B13">
        <v>5.5</v>
      </c>
      <c r="C13" t="str">
        <f>TRUNC(B13)&amp;" and a half hearts"</f>
        <v>5 and a half hearts</v>
      </c>
      <c r="E13">
        <v>11</v>
      </c>
      <c r="F13">
        <v>5.5</v>
      </c>
      <c r="G13" t="str">
        <v>5 and a half hearts</v>
      </c>
      <c r="H13" t="str">
        <v>5 and a half hearts</v>
      </c>
    </row>
    <row r="14" spans="1:8" x14ac:dyDescent="0.2">
      <c r="A14">
        <v>12</v>
      </c>
      <c r="B14">
        <v>6</v>
      </c>
      <c r="C14" t="str">
        <f>B14&amp;" hearts"</f>
        <v>6 hearts</v>
      </c>
      <c r="E14">
        <v>12</v>
      </c>
      <c r="F14">
        <v>6</v>
      </c>
      <c r="G14" t="str">
        <v>6 hearts</v>
      </c>
      <c r="H14" t="str">
        <v>6 hearts</v>
      </c>
    </row>
    <row r="15" spans="1:8" x14ac:dyDescent="0.2">
      <c r="A15">
        <v>13</v>
      </c>
      <c r="B15">
        <v>6.5</v>
      </c>
      <c r="C15" t="str">
        <f>TRUNC(B15)&amp;" and a half hearts"</f>
        <v>6 and a half hearts</v>
      </c>
      <c r="E15">
        <v>13</v>
      </c>
      <c r="F15">
        <v>6.5</v>
      </c>
      <c r="G15" t="str">
        <v>6 and a half hearts</v>
      </c>
      <c r="H15" t="str">
        <v>6 and a half hearts</v>
      </c>
    </row>
    <row r="16" spans="1:8" x14ac:dyDescent="0.2">
      <c r="A16">
        <v>14</v>
      </c>
      <c r="B16">
        <v>7</v>
      </c>
      <c r="C16" t="str">
        <f>B16&amp;" hearts"</f>
        <v>7 hearts</v>
      </c>
      <c r="E16">
        <v>14</v>
      </c>
      <c r="F16">
        <v>7</v>
      </c>
      <c r="G16" t="str">
        <v>7 hearts</v>
      </c>
      <c r="H16" t="str">
        <v>7 hearts</v>
      </c>
    </row>
    <row r="17" spans="1:8" x14ac:dyDescent="0.2">
      <c r="A17">
        <v>15</v>
      </c>
      <c r="B17">
        <v>7.5</v>
      </c>
      <c r="C17" t="str">
        <f>TRUNC(B17)&amp;" and a half hearts"</f>
        <v>7 and a half hearts</v>
      </c>
      <c r="E17">
        <v>15</v>
      </c>
      <c r="F17">
        <v>7.5</v>
      </c>
      <c r="G17" t="str">
        <v>7 and a half hearts</v>
      </c>
      <c r="H17" t="str">
        <v>7 and a half hearts</v>
      </c>
    </row>
    <row r="18" spans="1:8" x14ac:dyDescent="0.2">
      <c r="A18">
        <v>16</v>
      </c>
      <c r="B18">
        <v>8</v>
      </c>
      <c r="C18" t="str">
        <f>B18&amp;" hearts"</f>
        <v>8 hearts</v>
      </c>
      <c r="E18">
        <v>16</v>
      </c>
      <c r="F18">
        <v>8</v>
      </c>
      <c r="G18" t="str">
        <v>8 hearts</v>
      </c>
      <c r="H18" t="str">
        <v>8 hearts</v>
      </c>
    </row>
    <row r="19" spans="1:8" x14ac:dyDescent="0.2">
      <c r="A19">
        <v>17</v>
      </c>
      <c r="B19">
        <v>8.5</v>
      </c>
      <c r="C19" t="str">
        <f>TRUNC(B19)&amp;" and a half hearts"</f>
        <v>8 and a half hearts</v>
      </c>
      <c r="E19">
        <v>17</v>
      </c>
      <c r="F19">
        <v>8.5</v>
      </c>
      <c r="G19" t="str">
        <v>8 and a half hearts</v>
      </c>
      <c r="H19" t="str">
        <v>8 and a half hearts</v>
      </c>
    </row>
    <row r="20" spans="1:8" x14ac:dyDescent="0.2">
      <c r="A20">
        <v>18</v>
      </c>
      <c r="B20">
        <v>9</v>
      </c>
      <c r="C20" t="str">
        <f>B20&amp;" hearts"</f>
        <v>9 hearts</v>
      </c>
      <c r="E20">
        <v>18</v>
      </c>
      <c r="F20">
        <v>9</v>
      </c>
      <c r="G20" t="str">
        <v>9 hearts</v>
      </c>
      <c r="H20" t="str">
        <v>9 hearts</v>
      </c>
    </row>
    <row r="21" spans="1:8" x14ac:dyDescent="0.2">
      <c r="A21">
        <v>19</v>
      </c>
      <c r="B21">
        <v>9.5</v>
      </c>
      <c r="C21" t="str">
        <f>TRUNC(B21)&amp;" and a half hearts"</f>
        <v>9 and a half hearts</v>
      </c>
      <c r="E21">
        <v>19</v>
      </c>
      <c r="F21">
        <v>9.5</v>
      </c>
      <c r="G21" t="str">
        <v>9 and a half hearts</v>
      </c>
      <c r="H21" t="str">
        <v>9 and a half hearts</v>
      </c>
    </row>
    <row r="22" spans="1:8" x14ac:dyDescent="0.2">
      <c r="A22">
        <v>20</v>
      </c>
      <c r="B22">
        <v>10</v>
      </c>
      <c r="C22" t="str">
        <f>B22&amp;" hearts"</f>
        <v>10 hearts</v>
      </c>
      <c r="E22">
        <v>20</v>
      </c>
      <c r="F22">
        <v>10</v>
      </c>
      <c r="G22" t="str">
        <v>10 hearts</v>
      </c>
      <c r="H22" t="str">
        <v>10 hearts</v>
      </c>
    </row>
    <row r="23" spans="1:8" x14ac:dyDescent="0.2">
      <c r="A23">
        <v>21</v>
      </c>
      <c r="B23">
        <v>10.5</v>
      </c>
      <c r="C23" t="str">
        <f>TRUNC(B23)&amp;" and a half hearts"</f>
        <v>10 and a half hearts</v>
      </c>
      <c r="E23">
        <v>21</v>
      </c>
      <c r="F23">
        <v>10.5</v>
      </c>
      <c r="G23" t="str">
        <v>10 and a half hearts</v>
      </c>
      <c r="H23" t="str">
        <v>10 and a half hearts</v>
      </c>
    </row>
    <row r="24" spans="1:8" x14ac:dyDescent="0.2">
      <c r="A24">
        <v>22</v>
      </c>
      <c r="B24">
        <v>11</v>
      </c>
      <c r="C24" t="str">
        <f>B24&amp;" hearts"</f>
        <v>11 hearts</v>
      </c>
      <c r="E24">
        <v>22</v>
      </c>
      <c r="F24">
        <v>11</v>
      </c>
      <c r="G24" t="str">
        <v>11 hearts</v>
      </c>
      <c r="H24" t="str">
        <v>11 hearts</v>
      </c>
    </row>
    <row r="25" spans="1:8" x14ac:dyDescent="0.2">
      <c r="A25">
        <v>23</v>
      </c>
      <c r="B25">
        <v>11.5</v>
      </c>
      <c r="C25" t="str">
        <f>TRUNC(B25)&amp;" and a half hearts"</f>
        <v>11 and a half hearts</v>
      </c>
      <c r="E25">
        <v>23</v>
      </c>
      <c r="F25">
        <v>11.5</v>
      </c>
      <c r="G25" t="str">
        <v>11 and a half hearts</v>
      </c>
      <c r="H25" t="str">
        <v>11 and a half hearts</v>
      </c>
    </row>
    <row r="26" spans="1:8" x14ac:dyDescent="0.2">
      <c r="A26">
        <v>24</v>
      </c>
      <c r="B26">
        <v>12</v>
      </c>
      <c r="C26" t="str">
        <f>B26&amp;" hearts"</f>
        <v>12 hearts</v>
      </c>
      <c r="E26">
        <v>24</v>
      </c>
      <c r="F26">
        <v>12</v>
      </c>
      <c r="G26" t="str">
        <v>12 hearts</v>
      </c>
      <c r="H26" t="str">
        <v>12 hearts</v>
      </c>
    </row>
    <row r="27" spans="1:8" x14ac:dyDescent="0.2">
      <c r="A27">
        <v>25</v>
      </c>
      <c r="B27">
        <v>12.5</v>
      </c>
      <c r="C27" t="str">
        <f>TRUNC(B27)&amp;" and a half hearts"</f>
        <v>12 and a half hearts</v>
      </c>
      <c r="E27">
        <v>25</v>
      </c>
      <c r="F27">
        <v>12.5</v>
      </c>
      <c r="G27" t="str">
        <v>12 and a half hearts</v>
      </c>
      <c r="H27" t="str">
        <v>12 and a half hearts</v>
      </c>
    </row>
    <row r="28" spans="1:8" x14ac:dyDescent="0.2">
      <c r="A28">
        <v>26</v>
      </c>
      <c r="B28">
        <v>13</v>
      </c>
      <c r="C28" t="str">
        <f>B28&amp;" hearts"</f>
        <v>13 hearts</v>
      </c>
      <c r="E28">
        <v>26</v>
      </c>
      <c r="F28">
        <v>13</v>
      </c>
      <c r="G28" t="str">
        <v>13 hearts</v>
      </c>
      <c r="H28" t="str">
        <v>13 hearts</v>
      </c>
    </row>
    <row r="29" spans="1:8" x14ac:dyDescent="0.2">
      <c r="A29">
        <v>27</v>
      </c>
      <c r="B29">
        <v>13.5</v>
      </c>
      <c r="C29" t="str">
        <f>TRUNC(B29)&amp;" and a half hearts"</f>
        <v>13 and a half hearts</v>
      </c>
      <c r="E29">
        <v>27</v>
      </c>
      <c r="F29">
        <v>13.5</v>
      </c>
      <c r="G29" t="str">
        <v>13 and a half hearts</v>
      </c>
      <c r="H29" t="str">
        <v>13 and a half hearts</v>
      </c>
    </row>
    <row r="30" spans="1:8" x14ac:dyDescent="0.2">
      <c r="A30">
        <v>28</v>
      </c>
      <c r="B30">
        <v>14</v>
      </c>
      <c r="C30" t="str">
        <f>B30&amp;" hearts"</f>
        <v>14 hearts</v>
      </c>
      <c r="E30">
        <v>28</v>
      </c>
      <c r="F30">
        <v>14</v>
      </c>
      <c r="G30" t="str">
        <v>14 hearts</v>
      </c>
      <c r="H30" t="str">
        <v>14 hearts</v>
      </c>
    </row>
    <row r="31" spans="1:8" x14ac:dyDescent="0.2">
      <c r="A31">
        <v>29</v>
      </c>
      <c r="B31">
        <v>14.5</v>
      </c>
      <c r="C31" t="str">
        <f>TRUNC(B31)&amp;" and a half hearts"</f>
        <v>14 and a half hearts</v>
      </c>
      <c r="E31">
        <v>29</v>
      </c>
      <c r="F31">
        <v>14.5</v>
      </c>
      <c r="G31" t="str">
        <v>14 and a half hearts</v>
      </c>
      <c r="H31" t="str">
        <v>14 and a half hearts</v>
      </c>
    </row>
    <row r="32" spans="1:8" x14ac:dyDescent="0.2">
      <c r="A32">
        <v>30</v>
      </c>
      <c r="B32">
        <v>15</v>
      </c>
      <c r="C32" t="str">
        <f>B32&amp;" hearts"</f>
        <v>15 hearts</v>
      </c>
      <c r="E32">
        <v>30</v>
      </c>
      <c r="F32">
        <v>15</v>
      </c>
      <c r="G32" t="str">
        <v>15 hearts</v>
      </c>
      <c r="H32" t="str">
        <v>15 hearts</v>
      </c>
    </row>
    <row r="33" spans="1:8" x14ac:dyDescent="0.2">
      <c r="A33">
        <v>31</v>
      </c>
      <c r="B33">
        <v>15.5</v>
      </c>
      <c r="C33" t="str">
        <f>TRUNC(B33)&amp;" and a half hearts"</f>
        <v>15 and a half hearts</v>
      </c>
      <c r="E33">
        <v>31</v>
      </c>
      <c r="F33">
        <v>15.5</v>
      </c>
      <c r="G33" t="str">
        <v>15 and a half hearts</v>
      </c>
      <c r="H33" t="str">
        <v>15 and a half hearts</v>
      </c>
    </row>
    <row r="34" spans="1:8" x14ac:dyDescent="0.2">
      <c r="A34">
        <v>32</v>
      </c>
      <c r="B34">
        <v>16</v>
      </c>
      <c r="C34" t="str">
        <f>B34&amp;" hearts"</f>
        <v>16 hearts</v>
      </c>
      <c r="E34">
        <v>32</v>
      </c>
      <c r="F34">
        <v>16</v>
      </c>
      <c r="G34" t="str">
        <v>16 hearts</v>
      </c>
      <c r="H34" t="str">
        <v>16 hearts</v>
      </c>
    </row>
    <row r="35" spans="1:8" x14ac:dyDescent="0.2">
      <c r="A35">
        <v>33</v>
      </c>
      <c r="B35">
        <v>16.5</v>
      </c>
      <c r="C35" t="str">
        <f>TRUNC(B35)&amp;" and a half hearts"</f>
        <v>16 and a half hearts</v>
      </c>
      <c r="E35">
        <v>33</v>
      </c>
      <c r="F35">
        <v>16.5</v>
      </c>
      <c r="G35" t="str">
        <v>16 and a half hearts</v>
      </c>
      <c r="H35" t="str">
        <v>16 and a half hearts</v>
      </c>
    </row>
    <row r="36" spans="1:8" x14ac:dyDescent="0.2">
      <c r="A36">
        <v>34</v>
      </c>
      <c r="B36">
        <v>17</v>
      </c>
      <c r="C36" t="str">
        <f>B36&amp;" hearts"</f>
        <v>17 hearts</v>
      </c>
      <c r="E36">
        <v>34</v>
      </c>
      <c r="F36">
        <v>17</v>
      </c>
      <c r="G36" t="str">
        <v>17 hearts</v>
      </c>
      <c r="H36" t="str">
        <v>17 hearts</v>
      </c>
    </row>
    <row r="37" spans="1:8" x14ac:dyDescent="0.2">
      <c r="A37">
        <v>35</v>
      </c>
      <c r="B37">
        <v>17.5</v>
      </c>
      <c r="C37" t="str">
        <f>TRUNC(B37)&amp;" and a half hearts"</f>
        <v>17 and a half hearts</v>
      </c>
      <c r="E37">
        <v>35</v>
      </c>
      <c r="F37">
        <v>17.5</v>
      </c>
      <c r="G37" t="str">
        <v>17 and a half hearts</v>
      </c>
      <c r="H37" t="str">
        <v>17 and a half hearts</v>
      </c>
    </row>
    <row r="38" spans="1:8" x14ac:dyDescent="0.2">
      <c r="A38">
        <v>36</v>
      </c>
      <c r="B38">
        <v>18</v>
      </c>
      <c r="C38" t="str">
        <f>B38&amp;" hearts"</f>
        <v>18 hearts</v>
      </c>
      <c r="E38">
        <v>36</v>
      </c>
      <c r="F38">
        <v>18</v>
      </c>
      <c r="G38" t="str">
        <v>18 hearts</v>
      </c>
      <c r="H38" t="str">
        <v>18 hearts</v>
      </c>
    </row>
    <row r="39" spans="1:8" x14ac:dyDescent="0.2">
      <c r="A39">
        <v>37</v>
      </c>
      <c r="B39">
        <v>18.5</v>
      </c>
      <c r="C39" t="str">
        <f>TRUNC(B39)&amp;" and a half hearts"</f>
        <v>18 and a half hearts</v>
      </c>
      <c r="E39">
        <v>37</v>
      </c>
      <c r="F39">
        <v>18.5</v>
      </c>
      <c r="G39" t="str">
        <v>18 and a half hearts</v>
      </c>
      <c r="H39" t="str">
        <v>18 and a half hearts</v>
      </c>
    </row>
    <row r="40" spans="1:8" x14ac:dyDescent="0.2">
      <c r="A40">
        <v>38</v>
      </c>
      <c r="B40">
        <v>19</v>
      </c>
      <c r="C40" t="str">
        <f>B40&amp;" hearts"</f>
        <v>19 hearts</v>
      </c>
      <c r="E40">
        <v>38</v>
      </c>
      <c r="F40">
        <v>19</v>
      </c>
      <c r="G40" t="str">
        <v>19 hearts</v>
      </c>
      <c r="H40" t="str">
        <v>19 hearts</v>
      </c>
    </row>
    <row r="41" spans="1:8" x14ac:dyDescent="0.2">
      <c r="A41">
        <v>39</v>
      </c>
      <c r="B41">
        <v>19.5</v>
      </c>
      <c r="C41" t="str">
        <f>TRUNC(B41)&amp;" and a half hearts"</f>
        <v>19 and a half hearts</v>
      </c>
      <c r="E41">
        <v>39</v>
      </c>
      <c r="F41">
        <v>19.5</v>
      </c>
      <c r="G41" t="str">
        <v>19 and a half hearts</v>
      </c>
      <c r="H41" t="str">
        <v>19 and a half hearts</v>
      </c>
    </row>
    <row r="42" spans="1:8" x14ac:dyDescent="0.2">
      <c r="A42">
        <v>40</v>
      </c>
      <c r="B42">
        <v>20</v>
      </c>
      <c r="C42" t="str">
        <f>B42&amp;" hearts"</f>
        <v>20 hearts</v>
      </c>
      <c r="E42">
        <v>40</v>
      </c>
      <c r="F42">
        <v>20</v>
      </c>
      <c r="G42" t="str">
        <v>20 hearts</v>
      </c>
      <c r="H42" t="str">
        <v>20 hearts</v>
      </c>
    </row>
    <row r="43" spans="1:8" x14ac:dyDescent="0.2">
      <c r="A43">
        <v>41</v>
      </c>
      <c r="B43">
        <v>20.5</v>
      </c>
      <c r="C43" t="str">
        <f>TRUNC(B43)&amp;" and a half hearts"</f>
        <v>20 and a half hearts</v>
      </c>
      <c r="E43">
        <v>41</v>
      </c>
      <c r="F43">
        <v>20.5</v>
      </c>
      <c r="G43" t="str">
        <v>20 and a half hearts</v>
      </c>
      <c r="H43" t="str">
        <v>20 and a half hearts</v>
      </c>
    </row>
    <row r="44" spans="1:8" x14ac:dyDescent="0.2">
      <c r="A44">
        <v>42</v>
      </c>
      <c r="B44">
        <v>21</v>
      </c>
      <c r="C44" t="str">
        <f>B44&amp;" hearts"</f>
        <v>21 hearts</v>
      </c>
      <c r="E44">
        <v>42</v>
      </c>
      <c r="F44">
        <v>21</v>
      </c>
      <c r="G44" t="str">
        <v>21 hearts</v>
      </c>
      <c r="H44" t="str">
        <v>21 hearts</v>
      </c>
    </row>
    <row r="45" spans="1:8" x14ac:dyDescent="0.2">
      <c r="A45">
        <v>43</v>
      </c>
      <c r="B45">
        <v>21.5</v>
      </c>
      <c r="C45" t="str">
        <f>TRUNC(B45)&amp;" and a half hearts"</f>
        <v>21 and a half hearts</v>
      </c>
      <c r="E45">
        <v>43</v>
      </c>
      <c r="F45">
        <v>21.5</v>
      </c>
      <c r="G45" t="str">
        <v>21 and a half hearts</v>
      </c>
      <c r="H45" t="str">
        <v>21 and a half hearts</v>
      </c>
    </row>
    <row r="46" spans="1:8" x14ac:dyDescent="0.2">
      <c r="A46">
        <v>44</v>
      </c>
      <c r="B46">
        <v>22</v>
      </c>
      <c r="C46" t="str">
        <f>B46&amp;" hearts"</f>
        <v>22 hearts</v>
      </c>
      <c r="E46">
        <v>44</v>
      </c>
      <c r="F46">
        <v>22</v>
      </c>
      <c r="G46" t="str">
        <v>22 hearts</v>
      </c>
      <c r="H46" t="str">
        <v>22 hearts</v>
      </c>
    </row>
    <row r="47" spans="1:8" x14ac:dyDescent="0.2">
      <c r="A47">
        <v>45</v>
      </c>
      <c r="B47">
        <v>22.5</v>
      </c>
      <c r="C47" t="str">
        <f>TRUNC(B47)&amp;" and a half hearts"</f>
        <v>22 and a half hearts</v>
      </c>
      <c r="E47">
        <v>45</v>
      </c>
      <c r="F47">
        <v>22.5</v>
      </c>
      <c r="G47" t="str">
        <v>22 and a half hearts</v>
      </c>
      <c r="H47" t="str">
        <v>22 and a half hearts</v>
      </c>
    </row>
    <row r="48" spans="1:8" x14ac:dyDescent="0.2">
      <c r="A48">
        <v>46</v>
      </c>
      <c r="B48">
        <v>23</v>
      </c>
      <c r="C48" t="str">
        <f>B48&amp;" hearts"</f>
        <v>23 hearts</v>
      </c>
      <c r="E48">
        <v>46</v>
      </c>
      <c r="F48">
        <v>23</v>
      </c>
      <c r="G48" t="str">
        <v>23 hearts</v>
      </c>
      <c r="H48" t="str">
        <v>23 hearts</v>
      </c>
    </row>
    <row r="49" spans="1:8" x14ac:dyDescent="0.2">
      <c r="A49">
        <v>47</v>
      </c>
      <c r="B49">
        <v>23.5</v>
      </c>
      <c r="C49" t="str">
        <f>TRUNC(B49)&amp;" and a half hearts"</f>
        <v>23 and a half hearts</v>
      </c>
      <c r="E49">
        <v>47</v>
      </c>
      <c r="F49">
        <v>23.5</v>
      </c>
      <c r="G49" t="str">
        <v>23 and a half hearts</v>
      </c>
      <c r="H49" t="str">
        <v>23 and a half hearts</v>
      </c>
    </row>
    <row r="50" spans="1:8" x14ac:dyDescent="0.2">
      <c r="A50">
        <v>48</v>
      </c>
      <c r="B50">
        <v>24</v>
      </c>
      <c r="C50" t="str">
        <f>B50&amp;" hearts"</f>
        <v>24 hearts</v>
      </c>
      <c r="E50">
        <v>48</v>
      </c>
      <c r="F50">
        <v>24</v>
      </c>
      <c r="G50" t="str">
        <v>24 hearts</v>
      </c>
      <c r="H50" t="str">
        <v>24 hearts</v>
      </c>
    </row>
    <row r="51" spans="1:8" x14ac:dyDescent="0.2">
      <c r="A51">
        <v>49</v>
      </c>
      <c r="B51">
        <v>24.5</v>
      </c>
      <c r="C51" t="str">
        <f>TRUNC(B51)&amp;" and a half hearts"</f>
        <v>24 and a half hearts</v>
      </c>
      <c r="E51">
        <v>49</v>
      </c>
      <c r="F51">
        <v>24.5</v>
      </c>
      <c r="G51" t="str">
        <v>24 and a half hearts</v>
      </c>
      <c r="H51" t="str">
        <v>24 and a half hearts</v>
      </c>
    </row>
    <row r="52" spans="1:8" x14ac:dyDescent="0.2">
      <c r="A52">
        <v>50</v>
      </c>
      <c r="B52">
        <v>25</v>
      </c>
      <c r="C52" t="str">
        <f>B52&amp;" hearts"</f>
        <v>25 hearts</v>
      </c>
      <c r="E52">
        <v>50</v>
      </c>
      <c r="F52">
        <v>25</v>
      </c>
      <c r="G52" t="str">
        <v>25 hearts</v>
      </c>
      <c r="H52" t="str">
        <v>25 hearts</v>
      </c>
    </row>
    <row r="53" spans="1:8" x14ac:dyDescent="0.2">
      <c r="A53">
        <v>51</v>
      </c>
      <c r="B53">
        <v>25.5</v>
      </c>
      <c r="C53" t="str">
        <f>TRUNC(B53)&amp;" and a half hearts"</f>
        <v>25 and a half hearts</v>
      </c>
      <c r="E53">
        <v>51</v>
      </c>
      <c r="F53">
        <v>25.5</v>
      </c>
      <c r="G53" t="str">
        <v>25 and a half hearts</v>
      </c>
      <c r="H53" t="str">
        <v>25 and a half hearts</v>
      </c>
    </row>
    <row r="54" spans="1:8" x14ac:dyDescent="0.2">
      <c r="A54">
        <v>52</v>
      </c>
      <c r="B54">
        <v>26</v>
      </c>
      <c r="C54" t="str">
        <f>B54&amp;" hearts"</f>
        <v>26 hearts</v>
      </c>
      <c r="E54">
        <v>52</v>
      </c>
      <c r="F54">
        <v>26</v>
      </c>
      <c r="G54" t="str">
        <v>26 hearts</v>
      </c>
      <c r="H54" t="str">
        <v>26 hearts</v>
      </c>
    </row>
    <row r="55" spans="1:8" x14ac:dyDescent="0.2">
      <c r="A55">
        <v>53</v>
      </c>
      <c r="B55">
        <v>26.5</v>
      </c>
      <c r="C55" t="str">
        <f>TRUNC(B55)&amp;" and a half hearts"</f>
        <v>26 and a half hearts</v>
      </c>
      <c r="E55">
        <v>53</v>
      </c>
      <c r="F55">
        <v>26.5</v>
      </c>
      <c r="G55" t="str">
        <v>26 and a half hearts</v>
      </c>
      <c r="H55" t="str">
        <v>26 and a half hearts</v>
      </c>
    </row>
    <row r="56" spans="1:8" x14ac:dyDescent="0.2">
      <c r="A56">
        <v>54</v>
      </c>
      <c r="B56">
        <v>27</v>
      </c>
      <c r="C56" t="str">
        <f>B56&amp;" hearts"</f>
        <v>27 hearts</v>
      </c>
      <c r="E56">
        <v>54</v>
      </c>
      <c r="F56">
        <v>27</v>
      </c>
      <c r="G56" t="str">
        <v>27 hearts</v>
      </c>
      <c r="H56" t="str">
        <v>27 hearts</v>
      </c>
    </row>
    <row r="57" spans="1:8" x14ac:dyDescent="0.2">
      <c r="A57">
        <v>55</v>
      </c>
      <c r="B57">
        <v>27.5</v>
      </c>
      <c r="C57" t="str">
        <f>TRUNC(B57)&amp;" and a half hearts"</f>
        <v>27 and a half hearts</v>
      </c>
      <c r="E57">
        <v>55</v>
      </c>
      <c r="F57">
        <v>27.5</v>
      </c>
      <c r="G57" t="str">
        <v>27 and a half hearts</v>
      </c>
      <c r="H57" t="str">
        <v>27 and a half hearts</v>
      </c>
    </row>
    <row r="58" spans="1:8" x14ac:dyDescent="0.2">
      <c r="A58">
        <v>56</v>
      </c>
      <c r="B58">
        <v>28</v>
      </c>
      <c r="C58" t="str">
        <f>B58&amp;" hearts"</f>
        <v>28 hearts</v>
      </c>
      <c r="E58">
        <v>56</v>
      </c>
      <c r="F58">
        <v>28</v>
      </c>
      <c r="G58" t="str">
        <v>28 hearts</v>
      </c>
      <c r="H58" t="str">
        <v>28 hearts</v>
      </c>
    </row>
    <row r="59" spans="1:8" x14ac:dyDescent="0.2">
      <c r="A59">
        <v>57</v>
      </c>
      <c r="B59">
        <v>28.5</v>
      </c>
      <c r="C59" t="str">
        <f>TRUNC(B59)&amp;" and a half hearts"</f>
        <v>28 and a half hearts</v>
      </c>
      <c r="E59">
        <v>57</v>
      </c>
      <c r="F59">
        <v>28.5</v>
      </c>
      <c r="G59" t="str">
        <v>28 and a half hearts</v>
      </c>
      <c r="H59" t="str">
        <v>28 and a half hearts</v>
      </c>
    </row>
    <row r="60" spans="1:8" x14ac:dyDescent="0.2">
      <c r="A60">
        <v>58</v>
      </c>
      <c r="B60">
        <v>29</v>
      </c>
      <c r="C60" t="str">
        <f>B60&amp;" hearts"</f>
        <v>29 hearts</v>
      </c>
      <c r="E60">
        <v>58</v>
      </c>
      <c r="F60">
        <v>29</v>
      </c>
      <c r="G60" t="str">
        <v>29 hearts</v>
      </c>
      <c r="H60" t="str">
        <v>29 hearts</v>
      </c>
    </row>
    <row r="61" spans="1:8" x14ac:dyDescent="0.2">
      <c r="A61">
        <v>59</v>
      </c>
      <c r="B61">
        <v>29.5</v>
      </c>
      <c r="C61" t="str">
        <f>TRUNC(B61)&amp;" and a half hearts"</f>
        <v>29 and a half hearts</v>
      </c>
      <c r="E61">
        <v>59</v>
      </c>
      <c r="F61">
        <v>29.5</v>
      </c>
      <c r="G61" t="str">
        <v>29 and a half hearts</v>
      </c>
      <c r="H61" t="str">
        <v>29 and a half hearts</v>
      </c>
    </row>
    <row r="62" spans="1:8" x14ac:dyDescent="0.2">
      <c r="A62">
        <v>60</v>
      </c>
      <c r="B62">
        <v>30</v>
      </c>
      <c r="C62" t="str">
        <f>B62&amp;" hearts"</f>
        <v>30 hearts</v>
      </c>
      <c r="E62">
        <v>60</v>
      </c>
      <c r="F62">
        <v>30</v>
      </c>
      <c r="G62" t="str">
        <v>30 hearts</v>
      </c>
      <c r="H62" t="str">
        <v>30 hearts</v>
      </c>
    </row>
    <row r="63" spans="1:8" x14ac:dyDescent="0.2">
      <c r="A63">
        <v>61</v>
      </c>
      <c r="B63">
        <v>30.5</v>
      </c>
      <c r="C63" t="str">
        <f>TRUNC(B63)&amp;" and a half hearts"</f>
        <v>30 and a half hearts</v>
      </c>
      <c r="E63">
        <v>61</v>
      </c>
      <c r="F63">
        <v>30.5</v>
      </c>
      <c r="G63" t="str">
        <v>30 and a half hearts</v>
      </c>
      <c r="H63" t="str">
        <v>30 and a half hearts</v>
      </c>
    </row>
    <row r="64" spans="1:8" x14ac:dyDescent="0.2">
      <c r="A64">
        <v>62</v>
      </c>
      <c r="B64">
        <v>31</v>
      </c>
      <c r="C64" t="str">
        <f>B64&amp;" hearts"</f>
        <v>31 hearts</v>
      </c>
      <c r="E64">
        <v>62</v>
      </c>
      <c r="F64">
        <v>31</v>
      </c>
      <c r="G64" t="str">
        <v>31 hearts</v>
      </c>
      <c r="H64" t="str">
        <v>31 hearts</v>
      </c>
    </row>
    <row r="65" spans="1:8" x14ac:dyDescent="0.2">
      <c r="A65">
        <v>63</v>
      </c>
      <c r="B65">
        <v>31.5</v>
      </c>
      <c r="C65" t="str">
        <f>TRUNC(B65)&amp;" and a half hearts"</f>
        <v>31 and a half hearts</v>
      </c>
      <c r="E65">
        <v>63</v>
      </c>
      <c r="F65">
        <v>31.5</v>
      </c>
      <c r="G65" t="str">
        <v>31 and a half hearts</v>
      </c>
      <c r="H65" t="str">
        <v>31 and a half hearts</v>
      </c>
    </row>
    <row r="66" spans="1:8" x14ac:dyDescent="0.2">
      <c r="A66">
        <v>64</v>
      </c>
      <c r="B66">
        <v>32</v>
      </c>
      <c r="C66" t="str">
        <f>B66&amp;" hearts"</f>
        <v>32 hearts</v>
      </c>
      <c r="E66">
        <v>64</v>
      </c>
      <c r="F66">
        <v>32</v>
      </c>
      <c r="G66" t="str">
        <v>32 hearts</v>
      </c>
      <c r="H66" t="str">
        <v>32 hearts</v>
      </c>
    </row>
    <row r="67" spans="1:8" x14ac:dyDescent="0.2">
      <c r="A67">
        <v>65</v>
      </c>
      <c r="B67">
        <v>32.5</v>
      </c>
      <c r="C67" t="str">
        <f>TRUNC(B67)&amp;" and a half hearts"</f>
        <v>32 and a half hearts</v>
      </c>
      <c r="E67">
        <v>65</v>
      </c>
      <c r="F67">
        <v>32.5</v>
      </c>
      <c r="G67" t="str">
        <v>32 and a half hearts</v>
      </c>
      <c r="H67" t="str">
        <v>32 and a half hearts</v>
      </c>
    </row>
    <row r="68" spans="1:8" x14ac:dyDescent="0.2">
      <c r="A68">
        <v>66</v>
      </c>
      <c r="B68">
        <v>33</v>
      </c>
      <c r="C68" t="str">
        <f>B68&amp;" hearts"</f>
        <v>33 hearts</v>
      </c>
      <c r="E68">
        <v>66</v>
      </c>
      <c r="F68">
        <v>33</v>
      </c>
      <c r="G68" t="str">
        <v>33 hearts</v>
      </c>
      <c r="H68" t="str">
        <v>33 hearts</v>
      </c>
    </row>
    <row r="69" spans="1:8" x14ac:dyDescent="0.2">
      <c r="A69">
        <v>67</v>
      </c>
      <c r="B69">
        <v>33.5</v>
      </c>
      <c r="C69" t="str">
        <f>TRUNC(B69)&amp;" and a half hearts"</f>
        <v>33 and a half hearts</v>
      </c>
      <c r="E69">
        <v>67</v>
      </c>
      <c r="F69">
        <v>33.5</v>
      </c>
      <c r="G69" t="str">
        <v>33 and a half hearts</v>
      </c>
      <c r="H69" t="str">
        <v>33 and a half hearts</v>
      </c>
    </row>
    <row r="70" spans="1:8" x14ac:dyDescent="0.2">
      <c r="A70">
        <v>68</v>
      </c>
      <c r="B70">
        <v>34</v>
      </c>
      <c r="C70" t="str">
        <f>B70&amp;" hearts"</f>
        <v>34 hearts</v>
      </c>
      <c r="E70">
        <v>68</v>
      </c>
      <c r="F70">
        <v>34</v>
      </c>
      <c r="G70" t="str">
        <v>34 hearts</v>
      </c>
      <c r="H70" t="str">
        <v>34 hearts</v>
      </c>
    </row>
    <row r="71" spans="1:8" x14ac:dyDescent="0.2">
      <c r="A71">
        <v>69</v>
      </c>
      <c r="B71">
        <v>34.5</v>
      </c>
      <c r="C71" t="str">
        <f>TRUNC(B71)&amp;" and a half hearts"</f>
        <v>34 and a half hearts</v>
      </c>
      <c r="E71">
        <v>69</v>
      </c>
      <c r="F71">
        <v>34.5</v>
      </c>
      <c r="G71" t="str">
        <v>34 and a half hearts</v>
      </c>
      <c r="H71" t="str">
        <v>34 and a half hearts</v>
      </c>
    </row>
    <row r="72" spans="1:8" x14ac:dyDescent="0.2">
      <c r="A72">
        <v>70</v>
      </c>
      <c r="B72">
        <v>35</v>
      </c>
      <c r="C72" t="str">
        <f>B72&amp;" hearts"</f>
        <v>35 hearts</v>
      </c>
      <c r="E72">
        <v>70</v>
      </c>
      <c r="F72">
        <v>35</v>
      </c>
      <c r="G72" t="str">
        <v>35 hearts</v>
      </c>
      <c r="H72" t="str">
        <v>35 hearts</v>
      </c>
    </row>
    <row r="73" spans="1:8" x14ac:dyDescent="0.2">
      <c r="A73">
        <v>71</v>
      </c>
      <c r="B73">
        <v>35.5</v>
      </c>
      <c r="C73" t="str">
        <f>TRUNC(B73)&amp;" and a half hearts"</f>
        <v>35 and a half hearts</v>
      </c>
      <c r="E73">
        <v>71</v>
      </c>
      <c r="F73">
        <v>35.5</v>
      </c>
      <c r="G73" t="str">
        <v>35 and a half hearts</v>
      </c>
      <c r="H73" t="str">
        <v>35 and a half hearts</v>
      </c>
    </row>
    <row r="74" spans="1:8" x14ac:dyDescent="0.2">
      <c r="A74">
        <v>72</v>
      </c>
      <c r="B74">
        <v>36</v>
      </c>
      <c r="C74" t="str">
        <f>B74&amp;" hearts"</f>
        <v>36 hearts</v>
      </c>
      <c r="E74">
        <v>72</v>
      </c>
      <c r="F74">
        <v>36</v>
      </c>
      <c r="G74" t="str">
        <v>36 hearts</v>
      </c>
      <c r="H74" t="str">
        <v>36 hearts</v>
      </c>
    </row>
    <row r="75" spans="1:8" x14ac:dyDescent="0.2">
      <c r="A75">
        <v>73</v>
      </c>
      <c r="B75">
        <v>36.5</v>
      </c>
      <c r="C75" t="str">
        <f>TRUNC(B75)&amp;" and a half hearts"</f>
        <v>36 and a half hearts</v>
      </c>
      <c r="E75">
        <v>73</v>
      </c>
      <c r="F75">
        <v>36.5</v>
      </c>
      <c r="G75" t="str">
        <v>36 and a half hearts</v>
      </c>
      <c r="H75" t="str">
        <v>36 and a half hearts</v>
      </c>
    </row>
    <row r="76" spans="1:8" x14ac:dyDescent="0.2">
      <c r="A76">
        <v>74</v>
      </c>
      <c r="B76">
        <v>37</v>
      </c>
      <c r="C76" t="str">
        <f>B76&amp;" hearts"</f>
        <v>37 hearts</v>
      </c>
      <c r="E76">
        <v>74</v>
      </c>
      <c r="F76">
        <v>37</v>
      </c>
      <c r="G76" t="str">
        <v>37 hearts</v>
      </c>
      <c r="H76" t="str">
        <v>37 hearts</v>
      </c>
    </row>
    <row r="77" spans="1:8" x14ac:dyDescent="0.2">
      <c r="A77">
        <v>75</v>
      </c>
      <c r="B77">
        <v>37.5</v>
      </c>
      <c r="C77" t="str">
        <f>TRUNC(B77)&amp;" and a half hearts"</f>
        <v>37 and a half hearts</v>
      </c>
      <c r="E77">
        <v>75</v>
      </c>
      <c r="F77">
        <v>37.5</v>
      </c>
      <c r="G77" t="str">
        <v>37 and a half hearts</v>
      </c>
      <c r="H77" t="str">
        <v>37 and a half hearts</v>
      </c>
    </row>
    <row r="78" spans="1:8" x14ac:dyDescent="0.2">
      <c r="A78">
        <v>76</v>
      </c>
      <c r="B78">
        <v>38</v>
      </c>
      <c r="C78" t="str">
        <f>B78&amp;" hearts"</f>
        <v>38 hearts</v>
      </c>
      <c r="E78">
        <v>76</v>
      </c>
      <c r="F78">
        <v>38</v>
      </c>
      <c r="G78" t="str">
        <v>38 hearts</v>
      </c>
      <c r="H78" t="str">
        <v>38 hearts</v>
      </c>
    </row>
    <row r="79" spans="1:8" x14ac:dyDescent="0.2">
      <c r="A79">
        <v>77</v>
      </c>
      <c r="B79">
        <v>38.5</v>
      </c>
      <c r="C79" t="str">
        <f>TRUNC(B79)&amp;" and a half hearts"</f>
        <v>38 and a half hearts</v>
      </c>
      <c r="E79">
        <v>77</v>
      </c>
      <c r="F79">
        <v>38.5</v>
      </c>
      <c r="G79" t="str">
        <v>38 and a half hearts</v>
      </c>
      <c r="H79" t="str">
        <v>38 and a half hearts</v>
      </c>
    </row>
    <row r="80" spans="1:8" x14ac:dyDescent="0.2">
      <c r="A80">
        <v>78</v>
      </c>
      <c r="B80">
        <v>39</v>
      </c>
      <c r="C80" t="str">
        <f>B80&amp;" hearts"</f>
        <v>39 hearts</v>
      </c>
      <c r="E80">
        <v>78</v>
      </c>
      <c r="F80">
        <v>39</v>
      </c>
      <c r="G80" t="str">
        <v>39 hearts</v>
      </c>
      <c r="H80" t="str">
        <v>39 hearts</v>
      </c>
    </row>
    <row r="81" spans="1:8" x14ac:dyDescent="0.2">
      <c r="A81">
        <v>79</v>
      </c>
      <c r="B81">
        <v>39.5</v>
      </c>
      <c r="C81" t="str">
        <f>TRUNC(B81)&amp;" and a half hearts"</f>
        <v>39 and a half hearts</v>
      </c>
      <c r="E81">
        <v>79</v>
      </c>
      <c r="F81">
        <v>39.5</v>
      </c>
      <c r="G81" t="str">
        <v>39 and a half hearts</v>
      </c>
      <c r="H81" t="str">
        <v>39 and a half hearts</v>
      </c>
    </row>
    <row r="82" spans="1:8" x14ac:dyDescent="0.2">
      <c r="A82">
        <v>80</v>
      </c>
      <c r="B82">
        <v>40</v>
      </c>
      <c r="C82" t="str">
        <f>B82&amp;" hearts"</f>
        <v>40 hearts</v>
      </c>
      <c r="E82">
        <v>80</v>
      </c>
      <c r="F82">
        <v>40</v>
      </c>
      <c r="G82" t="str">
        <v>40 hearts</v>
      </c>
      <c r="H82" t="str">
        <v>40 hearts</v>
      </c>
    </row>
    <row r="83" spans="1:8" x14ac:dyDescent="0.2">
      <c r="A83">
        <v>81</v>
      </c>
      <c r="B83">
        <v>40.5</v>
      </c>
      <c r="C83" t="str">
        <f>TRUNC(B83)&amp;" and a half hearts"</f>
        <v>40 and a half hearts</v>
      </c>
      <c r="E83">
        <v>81</v>
      </c>
      <c r="F83">
        <v>40.5</v>
      </c>
      <c r="G83" t="str">
        <v>40 and a half hearts</v>
      </c>
      <c r="H83" t="str">
        <v>40 and a half hearts</v>
      </c>
    </row>
    <row r="84" spans="1:8" x14ac:dyDescent="0.2">
      <c r="A84">
        <v>82</v>
      </c>
      <c r="B84">
        <v>41</v>
      </c>
      <c r="C84" t="str">
        <f>B84&amp;" hearts"</f>
        <v>41 hearts</v>
      </c>
      <c r="E84">
        <v>82</v>
      </c>
      <c r="F84">
        <v>41</v>
      </c>
      <c r="G84" t="str">
        <v>41 hearts</v>
      </c>
      <c r="H84" t="str">
        <v>41 hearts</v>
      </c>
    </row>
    <row r="85" spans="1:8" x14ac:dyDescent="0.2">
      <c r="A85">
        <v>83</v>
      </c>
      <c r="B85">
        <v>41.5</v>
      </c>
      <c r="C85" t="str">
        <f>TRUNC(B85)&amp;" and a half hearts"</f>
        <v>41 and a half hearts</v>
      </c>
      <c r="E85">
        <v>83</v>
      </c>
      <c r="F85">
        <v>41.5</v>
      </c>
      <c r="G85" t="str">
        <v>41 and a half hearts</v>
      </c>
      <c r="H85" t="str">
        <v>41 and a half hearts</v>
      </c>
    </row>
    <row r="86" spans="1:8" x14ac:dyDescent="0.2">
      <c r="A86">
        <v>84</v>
      </c>
      <c r="B86">
        <v>42</v>
      </c>
      <c r="C86" t="str">
        <f>B86&amp;" hearts"</f>
        <v>42 hearts</v>
      </c>
      <c r="E86">
        <v>84</v>
      </c>
      <c r="F86">
        <v>42</v>
      </c>
      <c r="G86" t="str">
        <v>42 hearts</v>
      </c>
      <c r="H86" t="str">
        <v>42 hearts</v>
      </c>
    </row>
    <row r="87" spans="1:8" x14ac:dyDescent="0.2">
      <c r="A87">
        <v>85</v>
      </c>
      <c r="B87">
        <v>42.5</v>
      </c>
      <c r="C87" t="str">
        <f>TRUNC(B87)&amp;" and a half hearts"</f>
        <v>42 and a half hearts</v>
      </c>
      <c r="E87">
        <v>85</v>
      </c>
      <c r="F87">
        <v>42.5</v>
      </c>
      <c r="G87" t="str">
        <v>42 and a half hearts</v>
      </c>
      <c r="H87" t="str">
        <v>42 and a half hearts</v>
      </c>
    </row>
    <row r="88" spans="1:8" x14ac:dyDescent="0.2">
      <c r="A88">
        <v>86</v>
      </c>
      <c r="B88">
        <v>43</v>
      </c>
      <c r="C88" t="str">
        <f>B88&amp;" hearts"</f>
        <v>43 hearts</v>
      </c>
      <c r="E88">
        <v>86</v>
      </c>
      <c r="F88">
        <v>43</v>
      </c>
      <c r="G88" t="str">
        <v>43 hearts</v>
      </c>
      <c r="H88" t="str">
        <v>43 hearts</v>
      </c>
    </row>
    <row r="89" spans="1:8" x14ac:dyDescent="0.2">
      <c r="A89">
        <v>87</v>
      </c>
      <c r="B89">
        <v>43.5</v>
      </c>
      <c r="C89" t="str">
        <f>TRUNC(B89)&amp;" and a half hearts"</f>
        <v>43 and a half hearts</v>
      </c>
      <c r="E89">
        <v>87</v>
      </c>
      <c r="F89">
        <v>43.5</v>
      </c>
      <c r="G89" t="str">
        <v>43 and a half hearts</v>
      </c>
      <c r="H89" t="str">
        <v>43 and a half hearts</v>
      </c>
    </row>
    <row r="90" spans="1:8" x14ac:dyDescent="0.2">
      <c r="A90">
        <v>88</v>
      </c>
      <c r="B90">
        <v>44</v>
      </c>
      <c r="C90" t="str">
        <f>B90&amp;" hearts"</f>
        <v>44 hearts</v>
      </c>
      <c r="E90">
        <v>88</v>
      </c>
      <c r="F90">
        <v>44</v>
      </c>
      <c r="G90" t="str">
        <v>44 hearts</v>
      </c>
      <c r="H90" t="str">
        <v>44 hearts</v>
      </c>
    </row>
    <row r="91" spans="1:8" x14ac:dyDescent="0.2">
      <c r="A91">
        <v>89</v>
      </c>
      <c r="B91">
        <v>44.5</v>
      </c>
      <c r="C91" t="str">
        <f>TRUNC(B91)&amp;" and a half hearts"</f>
        <v>44 and a half hearts</v>
      </c>
      <c r="E91">
        <v>89</v>
      </c>
      <c r="F91">
        <v>44.5</v>
      </c>
      <c r="G91" t="str">
        <v>44 and a half hearts</v>
      </c>
      <c r="H91" t="str">
        <v>44 and a half hearts</v>
      </c>
    </row>
    <row r="92" spans="1:8" x14ac:dyDescent="0.2">
      <c r="A92">
        <v>90</v>
      </c>
      <c r="B92">
        <v>45</v>
      </c>
      <c r="C92" t="str">
        <f>B92&amp;" hearts"</f>
        <v>45 hearts</v>
      </c>
      <c r="E92">
        <v>90</v>
      </c>
      <c r="F92">
        <v>45</v>
      </c>
      <c r="G92" t="str">
        <v>45 hearts</v>
      </c>
      <c r="H92" t="str">
        <v>45 hearts</v>
      </c>
    </row>
    <row r="93" spans="1:8" x14ac:dyDescent="0.2">
      <c r="A93">
        <v>91</v>
      </c>
      <c r="B93">
        <v>45.5</v>
      </c>
      <c r="C93" t="str">
        <f>TRUNC(B93)&amp;" and a half hearts"</f>
        <v>45 and a half hearts</v>
      </c>
      <c r="E93">
        <v>91</v>
      </c>
      <c r="F93">
        <v>45.5</v>
      </c>
      <c r="G93" t="str">
        <v>45 and a half hearts</v>
      </c>
      <c r="H93" t="str">
        <v>45 and a half hearts</v>
      </c>
    </row>
    <row r="94" spans="1:8" x14ac:dyDescent="0.2">
      <c r="A94">
        <v>92</v>
      </c>
      <c r="B94">
        <v>46</v>
      </c>
      <c r="C94" t="str">
        <f>B94&amp;" hearts"</f>
        <v>46 hearts</v>
      </c>
      <c r="E94">
        <v>92</v>
      </c>
      <c r="F94">
        <v>46</v>
      </c>
      <c r="G94" t="str">
        <v>46 hearts</v>
      </c>
      <c r="H94" t="str">
        <v>46 hearts</v>
      </c>
    </row>
    <row r="95" spans="1:8" x14ac:dyDescent="0.2">
      <c r="A95">
        <v>93</v>
      </c>
      <c r="B95">
        <v>46.5</v>
      </c>
      <c r="C95" t="str">
        <f>TRUNC(B95)&amp;" and a half hearts"</f>
        <v>46 and a half hearts</v>
      </c>
      <c r="E95">
        <v>93</v>
      </c>
      <c r="F95">
        <v>46.5</v>
      </c>
      <c r="G95" t="str">
        <v>46 and a half hearts</v>
      </c>
      <c r="H95" t="str">
        <v>46 and a half hearts</v>
      </c>
    </row>
    <row r="96" spans="1:8" x14ac:dyDescent="0.2">
      <c r="A96">
        <v>94</v>
      </c>
      <c r="B96">
        <v>47</v>
      </c>
      <c r="C96" t="str">
        <f>B96&amp;" hearts"</f>
        <v>47 hearts</v>
      </c>
      <c r="E96">
        <v>94</v>
      </c>
      <c r="F96">
        <v>47</v>
      </c>
      <c r="G96" t="str">
        <v>47 hearts</v>
      </c>
      <c r="H96" t="str">
        <v>47 hearts</v>
      </c>
    </row>
    <row r="97" spans="1:8" x14ac:dyDescent="0.2">
      <c r="A97">
        <v>95</v>
      </c>
      <c r="B97">
        <v>47.5</v>
      </c>
      <c r="C97" t="str">
        <f>TRUNC(B97)&amp;" and a half hearts"</f>
        <v>47 and a half hearts</v>
      </c>
      <c r="E97">
        <v>95</v>
      </c>
      <c r="F97">
        <v>47.5</v>
      </c>
      <c r="G97" t="str">
        <v>47 and a half hearts</v>
      </c>
      <c r="H97" t="str">
        <v>47 and a half hearts</v>
      </c>
    </row>
    <row r="98" spans="1:8" x14ac:dyDescent="0.2">
      <c r="A98">
        <v>96</v>
      </c>
      <c r="B98">
        <v>48</v>
      </c>
      <c r="C98" t="str">
        <f>B98&amp;" hearts"</f>
        <v>48 hearts</v>
      </c>
      <c r="E98">
        <v>96</v>
      </c>
      <c r="F98">
        <v>48</v>
      </c>
      <c r="G98" t="str">
        <v>48 hearts</v>
      </c>
      <c r="H98" t="str">
        <v>48 hearts</v>
      </c>
    </row>
    <row r="99" spans="1:8" x14ac:dyDescent="0.2">
      <c r="A99">
        <v>97</v>
      </c>
      <c r="B99">
        <v>48.5</v>
      </c>
      <c r="C99" t="str">
        <f>TRUNC(B99)&amp;" and a half hearts"</f>
        <v>48 and a half hearts</v>
      </c>
      <c r="E99">
        <v>97</v>
      </c>
      <c r="F99">
        <v>48.5</v>
      </c>
      <c r="G99" t="str">
        <v>48 and a half hearts</v>
      </c>
      <c r="H99" t="str">
        <v>48 and a half hearts</v>
      </c>
    </row>
    <row r="100" spans="1:8" x14ac:dyDescent="0.2">
      <c r="A100">
        <v>98</v>
      </c>
      <c r="B100">
        <v>49</v>
      </c>
      <c r="C100" t="str">
        <f>B100&amp;" hearts"</f>
        <v>49 hearts</v>
      </c>
      <c r="E100">
        <v>98</v>
      </c>
      <c r="F100">
        <v>49</v>
      </c>
      <c r="G100" t="str">
        <v>49 hearts</v>
      </c>
      <c r="H100" t="str">
        <v>49 hearts</v>
      </c>
    </row>
    <row r="101" spans="1:8" x14ac:dyDescent="0.2">
      <c r="A101">
        <v>99</v>
      </c>
      <c r="B101">
        <v>49.5</v>
      </c>
      <c r="C101" t="str">
        <f>TRUNC(B101)&amp;" and a half hearts"</f>
        <v>49 and a half hearts</v>
      </c>
      <c r="E101">
        <v>99</v>
      </c>
      <c r="F101">
        <v>49.5</v>
      </c>
      <c r="G101" t="str">
        <v>49 and a half hearts</v>
      </c>
      <c r="H101" t="str">
        <v>49 and a half hearts</v>
      </c>
    </row>
    <row r="102" spans="1:8" x14ac:dyDescent="0.2">
      <c r="A102">
        <v>100</v>
      </c>
      <c r="B102">
        <v>50</v>
      </c>
      <c r="C102" t="str">
        <f>B102&amp;" hearts"</f>
        <v>50 hearts</v>
      </c>
      <c r="E102">
        <v>100</v>
      </c>
      <c r="F102">
        <v>50</v>
      </c>
      <c r="G102" t="str">
        <v>50 hearts</v>
      </c>
      <c r="H102" t="str">
        <v>50 hearts</v>
      </c>
    </row>
    <row r="103" spans="1:8" x14ac:dyDescent="0.2">
      <c r="E103">
        <v>101</v>
      </c>
      <c r="F103">
        <v>50.5</v>
      </c>
      <c r="G103" t="str">
        <v>50 and a half hearts</v>
      </c>
      <c r="H103" t="str">
        <v>50 and a half hearts</v>
      </c>
    </row>
    <row r="104" spans="1:8" x14ac:dyDescent="0.2">
      <c r="E104">
        <v>102</v>
      </c>
      <c r="F104">
        <v>51</v>
      </c>
      <c r="G104" t="str">
        <v>51 hearts</v>
      </c>
      <c r="H104" t="str">
        <v>51 hearts</v>
      </c>
    </row>
    <row r="105" spans="1:8" x14ac:dyDescent="0.2">
      <c r="E105">
        <v>103</v>
      </c>
      <c r="F105">
        <v>51.5</v>
      </c>
      <c r="G105" t="str">
        <v>51 and a half hearts</v>
      </c>
      <c r="H105" t="str">
        <v>51 and a half hearts</v>
      </c>
    </row>
    <row r="106" spans="1:8" x14ac:dyDescent="0.2">
      <c r="E106">
        <v>104</v>
      </c>
      <c r="F106">
        <v>52</v>
      </c>
      <c r="G106" t="str">
        <v>52 hearts</v>
      </c>
      <c r="H106" t="str">
        <v>52 hearts</v>
      </c>
    </row>
    <row r="107" spans="1:8" x14ac:dyDescent="0.2">
      <c r="E107">
        <v>105</v>
      </c>
      <c r="F107">
        <v>52.5</v>
      </c>
      <c r="G107" t="str">
        <v>52 and a half hearts</v>
      </c>
      <c r="H107" t="str">
        <v>52 and a half hearts</v>
      </c>
    </row>
    <row r="108" spans="1:8" x14ac:dyDescent="0.2">
      <c r="E108">
        <v>106</v>
      </c>
      <c r="F108">
        <v>53</v>
      </c>
      <c r="G108" t="str">
        <v>53 hearts</v>
      </c>
      <c r="H108" t="str">
        <v>53 hearts</v>
      </c>
    </row>
    <row r="109" spans="1:8" x14ac:dyDescent="0.2">
      <c r="E109">
        <v>107</v>
      </c>
      <c r="F109">
        <v>53.5</v>
      </c>
      <c r="G109" t="str">
        <v>53 and a half hearts</v>
      </c>
      <c r="H109" t="str">
        <v>53 and a half hearts</v>
      </c>
    </row>
    <row r="110" spans="1:8" x14ac:dyDescent="0.2">
      <c r="E110">
        <v>108</v>
      </c>
      <c r="F110">
        <v>54</v>
      </c>
      <c r="G110" t="str">
        <v>54 hearts</v>
      </c>
      <c r="H110" t="str">
        <v>54 hearts</v>
      </c>
    </row>
    <row r="111" spans="1:8" x14ac:dyDescent="0.2">
      <c r="E111">
        <v>109</v>
      </c>
      <c r="F111">
        <v>54.5</v>
      </c>
      <c r="G111" t="str">
        <v>54 and a half hearts</v>
      </c>
      <c r="H111" t="str">
        <v>54 and a half hearts</v>
      </c>
    </row>
    <row r="112" spans="1:8" x14ac:dyDescent="0.2">
      <c r="E112">
        <v>110</v>
      </c>
      <c r="F112">
        <v>55</v>
      </c>
      <c r="G112" t="str">
        <v>55 hearts</v>
      </c>
      <c r="H112" t="str">
        <v>55 hearts</v>
      </c>
    </row>
    <row r="113" spans="5:8" x14ac:dyDescent="0.2">
      <c r="E113">
        <v>111</v>
      </c>
      <c r="F113">
        <v>55.5</v>
      </c>
      <c r="G113" t="str">
        <v>55 and a half hearts</v>
      </c>
      <c r="H113" t="str">
        <v>55 and a half hearts</v>
      </c>
    </row>
    <row r="114" spans="5:8" x14ac:dyDescent="0.2">
      <c r="E114">
        <v>112</v>
      </c>
      <c r="F114">
        <v>56</v>
      </c>
      <c r="G114" t="str">
        <v>56 hearts</v>
      </c>
      <c r="H114" t="str">
        <v>56 hearts</v>
      </c>
    </row>
    <row r="115" spans="5:8" x14ac:dyDescent="0.2">
      <c r="E115">
        <v>113</v>
      </c>
      <c r="F115">
        <v>56.5</v>
      </c>
      <c r="G115" t="str">
        <v>56 and a half hearts</v>
      </c>
      <c r="H115" t="str">
        <v>56 and a half hearts</v>
      </c>
    </row>
    <row r="116" spans="5:8" x14ac:dyDescent="0.2">
      <c r="E116">
        <v>114</v>
      </c>
      <c r="F116">
        <v>57</v>
      </c>
      <c r="G116" t="str">
        <v>57 hearts</v>
      </c>
      <c r="H116" t="str">
        <v>57 hearts</v>
      </c>
    </row>
    <row r="117" spans="5:8" x14ac:dyDescent="0.2">
      <c r="E117">
        <v>115</v>
      </c>
      <c r="F117">
        <v>57.5</v>
      </c>
      <c r="G117" t="str">
        <v>57 and a half hearts</v>
      </c>
      <c r="H117" t="str">
        <v>57 and a half hearts</v>
      </c>
    </row>
    <row r="118" spans="5:8" x14ac:dyDescent="0.2">
      <c r="E118">
        <v>116</v>
      </c>
      <c r="F118">
        <v>58</v>
      </c>
      <c r="G118" t="str">
        <v>58 hearts</v>
      </c>
      <c r="H118" t="str">
        <v>58 hearts</v>
      </c>
    </row>
    <row r="119" spans="5:8" x14ac:dyDescent="0.2">
      <c r="E119">
        <v>117</v>
      </c>
      <c r="F119">
        <v>58.5</v>
      </c>
      <c r="G119" t="str">
        <v>58 and a half hearts</v>
      </c>
      <c r="H119" t="str">
        <v>58 and a half hearts</v>
      </c>
    </row>
    <row r="120" spans="5:8" x14ac:dyDescent="0.2">
      <c r="E120">
        <v>118</v>
      </c>
      <c r="F120">
        <v>59</v>
      </c>
      <c r="G120" t="str">
        <v>59 hearts</v>
      </c>
      <c r="H120" t="str">
        <v>59 hearts</v>
      </c>
    </row>
    <row r="121" spans="5:8" x14ac:dyDescent="0.2">
      <c r="E121">
        <v>119</v>
      </c>
      <c r="F121">
        <v>59.5</v>
      </c>
      <c r="G121" t="str">
        <v>59 and a half hearts</v>
      </c>
      <c r="H121" t="str">
        <v>59 and a half hearts</v>
      </c>
    </row>
    <row r="122" spans="5:8" x14ac:dyDescent="0.2">
      <c r="E122">
        <v>120</v>
      </c>
      <c r="F122">
        <v>60</v>
      </c>
      <c r="G122" t="str">
        <v>60 hearts</v>
      </c>
      <c r="H122" t="str">
        <v>60 hearts</v>
      </c>
    </row>
    <row r="123" spans="5:8" x14ac:dyDescent="0.2">
      <c r="E123">
        <v>121</v>
      </c>
      <c r="F123">
        <v>60.5</v>
      </c>
      <c r="G123" t="str">
        <v>60 and a half hearts</v>
      </c>
      <c r="H123" t="str">
        <v>60 and a half hearts</v>
      </c>
    </row>
    <row r="124" spans="5:8" x14ac:dyDescent="0.2">
      <c r="E124">
        <v>122</v>
      </c>
      <c r="F124">
        <v>61</v>
      </c>
      <c r="G124" t="str">
        <v>61 hearts</v>
      </c>
      <c r="H124" t="str">
        <v>61 hearts</v>
      </c>
    </row>
    <row r="125" spans="5:8" x14ac:dyDescent="0.2">
      <c r="E125">
        <v>123</v>
      </c>
      <c r="F125">
        <v>61.5</v>
      </c>
      <c r="G125" t="str">
        <v>61 and a half hearts</v>
      </c>
      <c r="H125" t="str">
        <v>61 and a half hearts</v>
      </c>
    </row>
    <row r="126" spans="5:8" x14ac:dyDescent="0.2">
      <c r="E126">
        <v>124</v>
      </c>
      <c r="F126">
        <v>62</v>
      </c>
      <c r="G126" t="str">
        <v>62 hearts</v>
      </c>
      <c r="H126" t="str">
        <v>62 hearts</v>
      </c>
    </row>
    <row r="127" spans="5:8" x14ac:dyDescent="0.2">
      <c r="E127">
        <v>125</v>
      </c>
      <c r="F127">
        <v>62.5</v>
      </c>
      <c r="G127" t="str">
        <v>62 and a half hearts</v>
      </c>
      <c r="H127" t="str">
        <v>62 and a half hearts</v>
      </c>
    </row>
    <row r="128" spans="5:8" x14ac:dyDescent="0.2">
      <c r="E128">
        <v>126</v>
      </c>
      <c r="F128">
        <v>63</v>
      </c>
      <c r="G128" t="str">
        <v>63 hearts</v>
      </c>
      <c r="H128" t="str">
        <v>63 hearts</v>
      </c>
    </row>
    <row r="129" spans="5:8" x14ac:dyDescent="0.2">
      <c r="E129">
        <v>127</v>
      </c>
      <c r="F129">
        <v>63.5</v>
      </c>
      <c r="G129" t="str">
        <v>63 and a half hearts</v>
      </c>
      <c r="H129" t="str">
        <v>63 and a half hearts</v>
      </c>
    </row>
    <row r="130" spans="5:8" x14ac:dyDescent="0.2">
      <c r="E130">
        <v>128</v>
      </c>
      <c r="F130">
        <v>64</v>
      </c>
      <c r="G130" t="str">
        <v>64 hearts</v>
      </c>
      <c r="H130" t="str">
        <v>64 hearts</v>
      </c>
    </row>
    <row r="131" spans="5:8" x14ac:dyDescent="0.2">
      <c r="E131">
        <v>129</v>
      </c>
      <c r="F131">
        <v>64.5</v>
      </c>
      <c r="G131" t="str">
        <v>64 and a half hearts</v>
      </c>
      <c r="H131" t="str">
        <v>64 and a half hearts</v>
      </c>
    </row>
    <row r="132" spans="5:8" x14ac:dyDescent="0.2">
      <c r="E132">
        <v>130</v>
      </c>
      <c r="F132">
        <v>65</v>
      </c>
      <c r="G132" t="str">
        <v>65 hearts</v>
      </c>
      <c r="H132" t="str">
        <v>65 hearts</v>
      </c>
    </row>
    <row r="133" spans="5:8" x14ac:dyDescent="0.2">
      <c r="E133">
        <v>131</v>
      </c>
      <c r="F133">
        <v>65.5</v>
      </c>
      <c r="G133" t="str">
        <v>65 and a half hearts</v>
      </c>
      <c r="H133" t="str">
        <v>65 and a half hearts</v>
      </c>
    </row>
    <row r="134" spans="5:8" x14ac:dyDescent="0.2">
      <c r="E134">
        <v>132</v>
      </c>
      <c r="F134">
        <v>66</v>
      </c>
      <c r="G134" t="str">
        <v>66 hearts</v>
      </c>
      <c r="H134" t="str">
        <v>66 hearts</v>
      </c>
    </row>
    <row r="135" spans="5:8" x14ac:dyDescent="0.2">
      <c r="E135">
        <v>133</v>
      </c>
      <c r="F135">
        <v>66.5</v>
      </c>
      <c r="G135" t="str">
        <v>66 and a half hearts</v>
      </c>
      <c r="H135" t="str">
        <v>66 and a half hearts</v>
      </c>
    </row>
    <row r="136" spans="5:8" x14ac:dyDescent="0.2">
      <c r="E136">
        <v>134</v>
      </c>
      <c r="F136">
        <v>67</v>
      </c>
      <c r="G136" t="str">
        <v>67 hearts</v>
      </c>
      <c r="H136" t="str">
        <v>67 hearts</v>
      </c>
    </row>
    <row r="137" spans="5:8" x14ac:dyDescent="0.2">
      <c r="E137">
        <v>135</v>
      </c>
      <c r="F137">
        <v>67.5</v>
      </c>
      <c r="G137" t="str">
        <v>67 and a half hearts</v>
      </c>
      <c r="H137" t="str">
        <v>67 and a half hearts</v>
      </c>
    </row>
    <row r="138" spans="5:8" x14ac:dyDescent="0.2">
      <c r="E138">
        <v>136</v>
      </c>
      <c r="F138">
        <v>68</v>
      </c>
      <c r="G138" t="str">
        <v>68 hearts</v>
      </c>
      <c r="H138" t="str">
        <v>68 hearts</v>
      </c>
    </row>
    <row r="139" spans="5:8" x14ac:dyDescent="0.2">
      <c r="E139">
        <v>137</v>
      </c>
      <c r="F139">
        <v>68.5</v>
      </c>
      <c r="G139" t="str">
        <v>68 and a half hearts</v>
      </c>
      <c r="H139" t="str">
        <v>68 and a half hearts</v>
      </c>
    </row>
    <row r="140" spans="5:8" x14ac:dyDescent="0.2">
      <c r="E140">
        <v>138</v>
      </c>
      <c r="F140">
        <v>69</v>
      </c>
      <c r="G140" t="str">
        <v>69 hearts</v>
      </c>
      <c r="H140" t="str">
        <v>69 hearts</v>
      </c>
    </row>
    <row r="141" spans="5:8" x14ac:dyDescent="0.2">
      <c r="E141">
        <v>139</v>
      </c>
      <c r="F141">
        <v>69.5</v>
      </c>
      <c r="G141" t="str">
        <v>69 and a half hearts</v>
      </c>
      <c r="H141" t="str">
        <v>69 and a half hearts</v>
      </c>
    </row>
    <row r="142" spans="5:8" x14ac:dyDescent="0.2">
      <c r="E142">
        <v>140</v>
      </c>
      <c r="F142">
        <v>70</v>
      </c>
      <c r="G142" t="str">
        <v>70 hearts</v>
      </c>
      <c r="H142" t="str">
        <v>70 hearts</v>
      </c>
    </row>
    <row r="143" spans="5:8" x14ac:dyDescent="0.2">
      <c r="E143">
        <v>141</v>
      </c>
      <c r="F143">
        <v>70.5</v>
      </c>
      <c r="G143" t="str">
        <v>70 and a half hearts</v>
      </c>
      <c r="H143" t="str">
        <v>70 and a half hearts</v>
      </c>
    </row>
    <row r="144" spans="5:8" x14ac:dyDescent="0.2">
      <c r="E144">
        <v>142</v>
      </c>
      <c r="F144">
        <v>71</v>
      </c>
      <c r="G144" t="str">
        <v>71 hearts</v>
      </c>
      <c r="H144" t="str">
        <v>71 hearts</v>
      </c>
    </row>
    <row r="145" spans="5:8" x14ac:dyDescent="0.2">
      <c r="E145">
        <v>143</v>
      </c>
      <c r="F145">
        <v>71.5</v>
      </c>
      <c r="G145" t="str">
        <v>71 and a half hearts</v>
      </c>
      <c r="H145" t="str">
        <v>71 and a half hearts</v>
      </c>
    </row>
    <row r="146" spans="5:8" x14ac:dyDescent="0.2">
      <c r="E146">
        <v>144</v>
      </c>
      <c r="F146">
        <v>72</v>
      </c>
      <c r="G146" t="str">
        <v>72 hearts</v>
      </c>
      <c r="H146" t="str">
        <v>72 hearts</v>
      </c>
    </row>
    <row r="147" spans="5:8" x14ac:dyDescent="0.2">
      <c r="E147">
        <v>145</v>
      </c>
      <c r="F147">
        <v>72.5</v>
      </c>
      <c r="G147" t="str">
        <v>72 and a half hearts</v>
      </c>
      <c r="H147" t="str">
        <v>72 and a half hearts</v>
      </c>
    </row>
    <row r="148" spans="5:8" x14ac:dyDescent="0.2">
      <c r="E148">
        <v>146</v>
      </c>
      <c r="F148">
        <v>73</v>
      </c>
      <c r="G148" t="str">
        <v>73 hearts</v>
      </c>
      <c r="H148" t="str">
        <v>73 hearts</v>
      </c>
    </row>
    <row r="149" spans="5:8" x14ac:dyDescent="0.2">
      <c r="E149">
        <v>147</v>
      </c>
      <c r="F149">
        <v>73.5</v>
      </c>
      <c r="G149" t="str">
        <v>73 and a half hearts</v>
      </c>
      <c r="H149" t="str">
        <v>73 and a half hearts</v>
      </c>
    </row>
    <row r="150" spans="5:8" x14ac:dyDescent="0.2">
      <c r="E150">
        <v>148</v>
      </c>
      <c r="F150">
        <v>74</v>
      </c>
      <c r="G150" t="str">
        <v>74 hearts</v>
      </c>
      <c r="H150" t="str">
        <v>74 hearts</v>
      </c>
    </row>
    <row r="151" spans="5:8" x14ac:dyDescent="0.2">
      <c r="E151">
        <v>149</v>
      </c>
      <c r="F151">
        <v>74.5</v>
      </c>
      <c r="G151" t="str">
        <v>74 and a half hearts</v>
      </c>
      <c r="H151" t="str">
        <v>74 and a half hearts</v>
      </c>
    </row>
    <row r="152" spans="5:8" x14ac:dyDescent="0.2">
      <c r="E152">
        <v>150</v>
      </c>
      <c r="F152">
        <v>75</v>
      </c>
      <c r="G152" t="str">
        <v>75 hearts</v>
      </c>
      <c r="H152" t="str">
        <v>75 hearts</v>
      </c>
    </row>
    <row r="153" spans="5:8" x14ac:dyDescent="0.2">
      <c r="E153">
        <v>151</v>
      </c>
      <c r="F153">
        <v>75.5</v>
      </c>
      <c r="G153" t="str">
        <v>75 and a half hearts</v>
      </c>
      <c r="H153" t="str">
        <v>75 and a half hearts</v>
      </c>
    </row>
    <row r="154" spans="5:8" x14ac:dyDescent="0.2">
      <c r="E154">
        <v>152</v>
      </c>
      <c r="F154">
        <v>76</v>
      </c>
      <c r="G154" t="str">
        <v>76 hearts</v>
      </c>
      <c r="H154" t="str">
        <v>76 hearts</v>
      </c>
    </row>
    <row r="155" spans="5:8" x14ac:dyDescent="0.2">
      <c r="E155">
        <v>153</v>
      </c>
      <c r="F155">
        <v>76.5</v>
      </c>
      <c r="G155" t="str">
        <v>76 and a half hearts</v>
      </c>
      <c r="H155" t="str">
        <v>76 and a half hearts</v>
      </c>
    </row>
    <row r="156" spans="5:8" x14ac:dyDescent="0.2">
      <c r="E156">
        <v>154</v>
      </c>
      <c r="F156">
        <v>77</v>
      </c>
      <c r="G156" t="str">
        <v>77 hearts</v>
      </c>
      <c r="H156" t="str">
        <v>77 hearts</v>
      </c>
    </row>
    <row r="157" spans="5:8" x14ac:dyDescent="0.2">
      <c r="E157">
        <v>155</v>
      </c>
      <c r="F157">
        <v>77.5</v>
      </c>
      <c r="G157" t="str">
        <v>77 and a half hearts</v>
      </c>
      <c r="H157" t="str">
        <v>77 and a half hearts</v>
      </c>
    </row>
    <row r="158" spans="5:8" x14ac:dyDescent="0.2">
      <c r="E158">
        <v>156</v>
      </c>
      <c r="F158">
        <v>78</v>
      </c>
      <c r="G158" t="str">
        <v>78 hearts</v>
      </c>
      <c r="H158" t="str">
        <v>78 hearts</v>
      </c>
    </row>
    <row r="159" spans="5:8" x14ac:dyDescent="0.2">
      <c r="E159">
        <v>157</v>
      </c>
      <c r="F159">
        <v>78.5</v>
      </c>
      <c r="G159" t="str">
        <v>78 and a half hearts</v>
      </c>
      <c r="H159" t="str">
        <v>78 and a half hearts</v>
      </c>
    </row>
    <row r="160" spans="5:8" x14ac:dyDescent="0.2">
      <c r="E160">
        <v>158</v>
      </c>
      <c r="F160">
        <v>79</v>
      </c>
      <c r="G160" t="str">
        <v>79 hearts</v>
      </c>
      <c r="H160" t="str">
        <v>79 hearts</v>
      </c>
    </row>
    <row r="161" spans="5:8" x14ac:dyDescent="0.2">
      <c r="E161">
        <v>159</v>
      </c>
      <c r="F161">
        <v>79.5</v>
      </c>
      <c r="G161" t="str">
        <v>79 and a half hearts</v>
      </c>
      <c r="H161" t="str">
        <v>79 and a half hearts</v>
      </c>
    </row>
    <row r="162" spans="5:8" x14ac:dyDescent="0.2">
      <c r="E162">
        <v>160</v>
      </c>
      <c r="F162">
        <v>80</v>
      </c>
      <c r="G162" t="str">
        <v>80 hearts</v>
      </c>
      <c r="H162" t="str">
        <v>80 hearts</v>
      </c>
    </row>
    <row r="163" spans="5:8" x14ac:dyDescent="0.2">
      <c r="E163">
        <v>161</v>
      </c>
      <c r="F163">
        <v>80.5</v>
      </c>
      <c r="G163" t="str">
        <v>80 and a half hearts</v>
      </c>
      <c r="H163" t="str">
        <v>80 and a half hearts</v>
      </c>
    </row>
    <row r="164" spans="5:8" x14ac:dyDescent="0.2">
      <c r="E164">
        <v>162</v>
      </c>
      <c r="F164">
        <v>81</v>
      </c>
      <c r="G164" t="str">
        <v>81 hearts</v>
      </c>
      <c r="H164" t="str">
        <v>81 hearts</v>
      </c>
    </row>
    <row r="165" spans="5:8" x14ac:dyDescent="0.2">
      <c r="E165">
        <v>163</v>
      </c>
      <c r="F165">
        <v>81.5</v>
      </c>
      <c r="G165" t="str">
        <v>81 and a half hearts</v>
      </c>
      <c r="H165" t="str">
        <v>81 and a half hearts</v>
      </c>
    </row>
    <row r="166" spans="5:8" x14ac:dyDescent="0.2">
      <c r="E166">
        <v>164</v>
      </c>
      <c r="F166">
        <v>82</v>
      </c>
      <c r="G166" t="str">
        <v>82 hearts</v>
      </c>
      <c r="H166" t="str">
        <v>82 hearts</v>
      </c>
    </row>
    <row r="167" spans="5:8" x14ac:dyDescent="0.2">
      <c r="E167">
        <v>165</v>
      </c>
      <c r="F167">
        <v>82.5</v>
      </c>
      <c r="G167" t="str">
        <v>82 and a half hearts</v>
      </c>
      <c r="H167" t="str">
        <v>82 and a half hearts</v>
      </c>
    </row>
    <row r="168" spans="5:8" x14ac:dyDescent="0.2">
      <c r="E168">
        <v>166</v>
      </c>
      <c r="F168">
        <v>83</v>
      </c>
      <c r="G168" t="str">
        <v>83 hearts</v>
      </c>
      <c r="H168" t="str">
        <v>83 hearts</v>
      </c>
    </row>
    <row r="169" spans="5:8" x14ac:dyDescent="0.2">
      <c r="E169">
        <v>167</v>
      </c>
      <c r="F169">
        <v>83.5</v>
      </c>
      <c r="G169" t="str">
        <v>83 and a half hearts</v>
      </c>
      <c r="H169" t="str">
        <v>83 and a half hearts</v>
      </c>
    </row>
    <row r="170" spans="5:8" x14ac:dyDescent="0.2">
      <c r="E170">
        <v>168</v>
      </c>
      <c r="F170">
        <v>84</v>
      </c>
      <c r="G170" t="str">
        <v>84 hearts</v>
      </c>
      <c r="H170" t="str">
        <v>84 hearts</v>
      </c>
    </row>
    <row r="171" spans="5:8" x14ac:dyDescent="0.2">
      <c r="E171">
        <v>169</v>
      </c>
      <c r="F171">
        <v>84.5</v>
      </c>
      <c r="G171" t="str">
        <v>84 and a half hearts</v>
      </c>
      <c r="H171" t="str">
        <v>84 and a half hearts</v>
      </c>
    </row>
    <row r="172" spans="5:8" x14ac:dyDescent="0.2">
      <c r="E172">
        <v>170</v>
      </c>
      <c r="F172">
        <v>85</v>
      </c>
      <c r="G172" t="str">
        <v>85 hearts</v>
      </c>
      <c r="H172" t="str">
        <v>85 hearts</v>
      </c>
    </row>
    <row r="173" spans="5:8" x14ac:dyDescent="0.2">
      <c r="E173">
        <v>171</v>
      </c>
      <c r="F173">
        <v>85.5</v>
      </c>
      <c r="G173" t="str">
        <v>85 and a half hearts</v>
      </c>
      <c r="H173" t="str">
        <v>85 and a half hearts</v>
      </c>
    </row>
    <row r="174" spans="5:8" x14ac:dyDescent="0.2">
      <c r="E174">
        <v>172</v>
      </c>
      <c r="F174">
        <v>86</v>
      </c>
      <c r="G174" t="str">
        <v>86 hearts</v>
      </c>
      <c r="H174" t="str">
        <v>86 hearts</v>
      </c>
    </row>
    <row r="175" spans="5:8" x14ac:dyDescent="0.2">
      <c r="E175">
        <v>173</v>
      </c>
      <c r="F175">
        <v>86.5</v>
      </c>
      <c r="G175" t="str">
        <v>86 and a half hearts</v>
      </c>
      <c r="H175" t="str">
        <v>86 and a half hearts</v>
      </c>
    </row>
    <row r="176" spans="5:8" x14ac:dyDescent="0.2">
      <c r="E176">
        <v>174</v>
      </c>
      <c r="F176">
        <v>87</v>
      </c>
      <c r="G176" t="str">
        <v>87 hearts</v>
      </c>
      <c r="H176" t="str">
        <v>87 hearts</v>
      </c>
    </row>
    <row r="177" spans="5:8" x14ac:dyDescent="0.2">
      <c r="E177">
        <v>175</v>
      </c>
      <c r="F177">
        <v>87.5</v>
      </c>
      <c r="G177" t="str">
        <v>87 and a half hearts</v>
      </c>
      <c r="H177" t="str">
        <v>87 and a half hearts</v>
      </c>
    </row>
    <row r="178" spans="5:8" x14ac:dyDescent="0.2">
      <c r="E178">
        <v>176</v>
      </c>
      <c r="F178">
        <v>88</v>
      </c>
      <c r="G178" t="str">
        <v>88 hearts</v>
      </c>
      <c r="H178" t="str">
        <v>88 hearts</v>
      </c>
    </row>
    <row r="179" spans="5:8" x14ac:dyDescent="0.2">
      <c r="E179">
        <v>177</v>
      </c>
      <c r="F179">
        <v>88.5</v>
      </c>
      <c r="G179" t="str">
        <v>88 and a half hearts</v>
      </c>
      <c r="H179" t="str">
        <v>88 and a half hearts</v>
      </c>
    </row>
    <row r="180" spans="5:8" x14ac:dyDescent="0.2">
      <c r="E180">
        <v>178</v>
      </c>
      <c r="F180">
        <v>89</v>
      </c>
      <c r="G180" t="str">
        <v>89 hearts</v>
      </c>
      <c r="H180" t="str">
        <v>89 hearts</v>
      </c>
    </row>
    <row r="181" spans="5:8" x14ac:dyDescent="0.2">
      <c r="E181">
        <v>179</v>
      </c>
      <c r="F181">
        <v>89.5</v>
      </c>
      <c r="G181" t="str">
        <v>89 and a half hearts</v>
      </c>
      <c r="H181" t="str">
        <v>89 and a half hearts</v>
      </c>
    </row>
    <row r="182" spans="5:8" x14ac:dyDescent="0.2">
      <c r="E182">
        <v>180</v>
      </c>
      <c r="F182">
        <v>90</v>
      </c>
      <c r="G182" t="str">
        <v>90 hearts</v>
      </c>
      <c r="H182" t="str">
        <v>90 hearts</v>
      </c>
    </row>
    <row r="183" spans="5:8" x14ac:dyDescent="0.2">
      <c r="E183">
        <v>181</v>
      </c>
      <c r="F183">
        <v>90.5</v>
      </c>
      <c r="G183" t="str">
        <v>90 and a half hearts</v>
      </c>
      <c r="H183" t="str">
        <v>90 and a half hearts</v>
      </c>
    </row>
    <row r="184" spans="5:8" x14ac:dyDescent="0.2">
      <c r="E184">
        <v>182</v>
      </c>
      <c r="F184">
        <v>91</v>
      </c>
      <c r="G184" t="str">
        <v>91 hearts</v>
      </c>
      <c r="H184" t="str">
        <v>91 hearts</v>
      </c>
    </row>
    <row r="185" spans="5:8" x14ac:dyDescent="0.2">
      <c r="E185">
        <v>183</v>
      </c>
      <c r="F185">
        <v>91.5</v>
      </c>
      <c r="G185" t="str">
        <v>91 and a half hearts</v>
      </c>
      <c r="H185" t="str">
        <v>91 and a half hearts</v>
      </c>
    </row>
    <row r="186" spans="5:8" x14ac:dyDescent="0.2">
      <c r="E186">
        <v>184</v>
      </c>
      <c r="F186">
        <v>92</v>
      </c>
      <c r="G186" t="str">
        <v>92 hearts</v>
      </c>
      <c r="H186" t="str">
        <v>92 hearts</v>
      </c>
    </row>
    <row r="187" spans="5:8" x14ac:dyDescent="0.2">
      <c r="E187">
        <v>185</v>
      </c>
      <c r="F187">
        <v>92.5</v>
      </c>
      <c r="G187" t="str">
        <v>92 and a half hearts</v>
      </c>
      <c r="H187" t="str">
        <v>92 and a half hearts</v>
      </c>
    </row>
    <row r="188" spans="5:8" x14ac:dyDescent="0.2">
      <c r="E188">
        <v>186</v>
      </c>
      <c r="F188">
        <v>93</v>
      </c>
      <c r="G188" t="str">
        <v>93 hearts</v>
      </c>
      <c r="H188" t="str">
        <v>93 hearts</v>
      </c>
    </row>
    <row r="189" spans="5:8" x14ac:dyDescent="0.2">
      <c r="E189">
        <v>187</v>
      </c>
      <c r="F189">
        <v>93.5</v>
      </c>
      <c r="G189" t="str">
        <v>93 and a half hearts</v>
      </c>
      <c r="H189" t="str">
        <v>93 and a half hearts</v>
      </c>
    </row>
    <row r="190" spans="5:8" x14ac:dyDescent="0.2">
      <c r="E190">
        <v>188</v>
      </c>
      <c r="F190">
        <v>94</v>
      </c>
      <c r="G190" t="str">
        <v>94 hearts</v>
      </c>
      <c r="H190" t="str">
        <v>94 hearts</v>
      </c>
    </row>
    <row r="191" spans="5:8" x14ac:dyDescent="0.2">
      <c r="E191">
        <v>189</v>
      </c>
      <c r="F191">
        <v>94.5</v>
      </c>
      <c r="G191" t="str">
        <v>94 and a half hearts</v>
      </c>
      <c r="H191" t="str">
        <v>94 and a half hearts</v>
      </c>
    </row>
    <row r="192" spans="5:8" x14ac:dyDescent="0.2">
      <c r="E192">
        <v>190</v>
      </c>
      <c r="F192">
        <v>95</v>
      </c>
      <c r="G192" t="str">
        <v>95 hearts</v>
      </c>
      <c r="H192" t="str">
        <v>95 hearts</v>
      </c>
    </row>
    <row r="193" spans="5:8" x14ac:dyDescent="0.2">
      <c r="E193">
        <v>191</v>
      </c>
      <c r="F193">
        <v>95.5</v>
      </c>
      <c r="G193" t="str">
        <v>95 and a half hearts</v>
      </c>
      <c r="H193" t="str">
        <v>95 and a half hearts</v>
      </c>
    </row>
    <row r="194" spans="5:8" x14ac:dyDescent="0.2">
      <c r="E194">
        <v>192</v>
      </c>
      <c r="F194">
        <v>96</v>
      </c>
      <c r="G194" t="str">
        <v>96 hearts</v>
      </c>
      <c r="H194" t="str">
        <v>96 hearts</v>
      </c>
    </row>
    <row r="195" spans="5:8" x14ac:dyDescent="0.2">
      <c r="E195">
        <v>193</v>
      </c>
      <c r="F195">
        <v>96.5</v>
      </c>
      <c r="G195" t="str">
        <v>96 and a half hearts</v>
      </c>
      <c r="H195" t="str">
        <v>96 and a half hearts</v>
      </c>
    </row>
    <row r="196" spans="5:8" x14ac:dyDescent="0.2">
      <c r="E196">
        <v>194</v>
      </c>
      <c r="F196">
        <v>97</v>
      </c>
      <c r="G196" t="str">
        <v>97 hearts</v>
      </c>
      <c r="H196" t="str">
        <v>97 hearts</v>
      </c>
    </row>
    <row r="197" spans="5:8" x14ac:dyDescent="0.2">
      <c r="E197">
        <v>195</v>
      </c>
      <c r="F197">
        <v>97.5</v>
      </c>
      <c r="G197" t="str">
        <v>97 and a half hearts</v>
      </c>
      <c r="H197" t="str">
        <v>97 and a half hearts</v>
      </c>
    </row>
    <row r="198" spans="5:8" x14ac:dyDescent="0.2">
      <c r="E198">
        <v>196</v>
      </c>
      <c r="F198">
        <v>98</v>
      </c>
      <c r="G198" t="str">
        <v>98 hearts</v>
      </c>
      <c r="H198" t="str">
        <v>98 hearts</v>
      </c>
    </row>
    <row r="199" spans="5:8" x14ac:dyDescent="0.2">
      <c r="E199">
        <v>197</v>
      </c>
      <c r="F199">
        <v>98.5</v>
      </c>
      <c r="G199" t="str">
        <v>98 and a half hearts</v>
      </c>
      <c r="H199" t="str">
        <v>98 and a half hearts</v>
      </c>
    </row>
    <row r="200" spans="5:8" x14ac:dyDescent="0.2">
      <c r="E200">
        <v>198</v>
      </c>
      <c r="F200">
        <v>99</v>
      </c>
      <c r="G200" t="str">
        <v>99 hearts</v>
      </c>
      <c r="H200" t="str">
        <v>99 hearts</v>
      </c>
    </row>
    <row r="201" spans="5:8" x14ac:dyDescent="0.2">
      <c r="E201">
        <v>199</v>
      </c>
      <c r="F201">
        <v>99.5</v>
      </c>
      <c r="G201" t="str">
        <v>99 and a half hearts</v>
      </c>
      <c r="H201" t="str">
        <v>99 and a half hearts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UI</vt:lpstr>
      <vt:lpstr>Mobs</vt:lpstr>
      <vt:lpstr>Common</vt:lpstr>
      <vt:lpstr>Falling</vt:lpstr>
      <vt:lpstr>Measured</vt:lpstr>
      <vt:lpstr>Anvil</vt:lpstr>
      <vt:lpstr>Hearts</vt:lpstr>
      <vt:lpstr>health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 Þorsteinsson</cp:lastModifiedBy>
  <dcterms:created xsi:type="dcterms:W3CDTF">2019-03-25T20:48:59Z</dcterms:created>
  <dcterms:modified xsi:type="dcterms:W3CDTF">2025-02-08T14:53:49Z</dcterms:modified>
</cp:coreProperties>
</file>