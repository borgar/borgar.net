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gar/Spreadsheets/"/>
    </mc:Choice>
  </mc:AlternateContent>
  <xr:revisionPtr revIDLastSave="0" documentId="13_ncr:1_{183BCA53-DE5F-314C-9765-0735FA0D81EF}" xr6:coauthVersionLast="47" xr6:coauthVersionMax="47" xr10:uidLastSave="{00000000-0000-0000-0000-000000000000}"/>
  <bookViews>
    <workbookView xWindow="5020" yWindow="500" windowWidth="31220" windowHeight="24360" activeTab="1" xr2:uid="{73DDC366-2985-E040-AD01-D88E61F989CD}"/>
  </bookViews>
  <sheets>
    <sheet name="UI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H3" i="2" s="1" a="1"/>
  <c r="H3" i="2" s="1"/>
  <c r="J4" i="2"/>
  <c r="D4" i="2" s="1" a="1"/>
  <c r="D4" i="2" s="1"/>
  <c r="J5" i="2"/>
  <c r="H5" i="2" s="1" a="1"/>
  <c r="H5" i="2" s="1"/>
  <c r="J6" i="2"/>
  <c r="H6" i="2" s="1" a="1"/>
  <c r="H6" i="2" s="1"/>
  <c r="J7" i="2"/>
  <c r="H7" i="2" s="1" a="1"/>
  <c r="H7" i="2" s="1"/>
  <c r="J8" i="2"/>
  <c r="H8" i="2" s="1" a="1"/>
  <c r="H8" i="2" s="1"/>
  <c r="J9" i="2"/>
  <c r="D9" i="2" s="1" a="1"/>
  <c r="D9" i="2" s="1"/>
  <c r="J10" i="2"/>
  <c r="D10" i="2" s="1" a="1"/>
  <c r="D10" i="2" s="1"/>
  <c r="J11" i="2"/>
  <c r="H11" i="2" s="1" a="1"/>
  <c r="H11" i="2" s="1"/>
  <c r="R13" i="2"/>
  <c r="V13" i="2"/>
  <c r="M13" i="2"/>
  <c r="M7" i="2" s="1" a="1"/>
  <c r="M7" i="2" s="1"/>
  <c r="Q13" i="2"/>
  <c r="Q5" i="2" s="1" a="1"/>
  <c r="Q5" i="2" s="1"/>
  <c r="K4" i="2"/>
  <c r="K5" i="2"/>
  <c r="K6" i="2"/>
  <c r="K7" i="2"/>
  <c r="K8" i="2"/>
  <c r="K9" i="2"/>
  <c r="K10" i="2"/>
  <c r="K11" i="2"/>
  <c r="K3" i="2"/>
  <c r="E15" i="2"/>
  <c r="U13" i="2"/>
  <c r="U11" i="2" s="1" a="1"/>
  <c r="U11" i="2" s="1"/>
  <c r="O13" i="2"/>
  <c r="O7" i="2" s="1" a="1"/>
  <c r="O7" i="2" s="1"/>
  <c r="S13" i="2"/>
  <c r="S6" i="2" s="1" a="1"/>
  <c r="S6" i="2" s="1"/>
  <c r="P13" i="2"/>
  <c r="P7" i="2" s="1" a="1"/>
  <c r="P7" i="2" s="1"/>
  <c r="V9" i="2" a="1"/>
  <c r="V9" i="2" s="1"/>
  <c r="R8" i="2" a="1"/>
  <c r="R8" i="2" s="1"/>
  <c r="T13" i="2"/>
  <c r="T6" i="2" s="1" a="1"/>
  <c r="T6" i="2" s="1"/>
  <c r="N13" i="2"/>
  <c r="N11" i="2" s="1" a="1"/>
  <c r="N11" i="2" s="1"/>
  <c r="W13" i="2"/>
  <c r="W4" i="2" s="1" a="1"/>
  <c r="W4" i="2" s="1"/>
  <c r="D3" i="2" l="1" a="1"/>
  <c r="D3" i="2" s="1"/>
  <c r="G7" i="2"/>
  <c r="I7" i="2" s="1"/>
  <c r="E7" i="2" s="1" a="1"/>
  <c r="E7" i="2" s="1"/>
  <c r="G6" i="2"/>
  <c r="I6" i="2" s="1"/>
  <c r="E6" i="2" s="1" a="1"/>
  <c r="E6" i="2" s="1"/>
  <c r="P10" i="2" a="1"/>
  <c r="P10" i="2" s="1"/>
  <c r="P8" i="2" a="1"/>
  <c r="P8" i="2" s="1"/>
  <c r="V10" i="2" a="1"/>
  <c r="V10" i="2" s="1"/>
  <c r="V7" i="2" a="1"/>
  <c r="V7" i="2" s="1"/>
  <c r="V5" i="2" a="1"/>
  <c r="V5" i="2" s="1"/>
  <c r="P4" i="2" a="1"/>
  <c r="P4" i="2" s="1"/>
  <c r="W3" i="2" a="1"/>
  <c r="W3" i="2" s="1"/>
  <c r="T4" i="2" a="1"/>
  <c r="T4" i="2" s="1"/>
  <c r="P3" i="2" a="1"/>
  <c r="P3" i="2" s="1"/>
  <c r="U9" i="2" a="1"/>
  <c r="U9" i="2" s="1"/>
  <c r="U7" i="2" a="1"/>
  <c r="U7" i="2" s="1"/>
  <c r="N4" i="2" a="1"/>
  <c r="N4" i="2" s="1"/>
  <c r="T11" i="2" a="1"/>
  <c r="T11" i="2" s="1"/>
  <c r="T9" i="2" a="1"/>
  <c r="T9" i="2" s="1"/>
  <c r="T7" i="2" a="1"/>
  <c r="T7" i="2" s="1"/>
  <c r="P5" i="2" a="1"/>
  <c r="P5" i="2" s="1"/>
  <c r="D8" i="2" a="1"/>
  <c r="D8" i="2" s="1"/>
  <c r="O4" i="2" a="1"/>
  <c r="O4" i="2" s="1"/>
  <c r="G8" i="2"/>
  <c r="I8" i="2" s="1"/>
  <c r="E8" i="2" s="1" a="1"/>
  <c r="E8" i="2" s="1"/>
  <c r="S11" i="2" a="1"/>
  <c r="S11" i="2" s="1"/>
  <c r="S9" i="2" a="1"/>
  <c r="S9" i="2" s="1"/>
  <c r="N7" i="2" a="1"/>
  <c r="N7" i="2" s="1"/>
  <c r="O5" i="2" a="1"/>
  <c r="O5" i="2" s="1"/>
  <c r="D7" i="2" a="1"/>
  <c r="D7" i="2" s="1"/>
  <c r="O10" i="2" a="1"/>
  <c r="O10" i="2" s="1"/>
  <c r="U5" i="2" a="1"/>
  <c r="U5" i="2" s="1"/>
  <c r="M11" i="2" a="1"/>
  <c r="M11" i="2" s="1"/>
  <c r="N9" i="2" a="1"/>
  <c r="N9" i="2" s="1"/>
  <c r="W6" i="2" a="1"/>
  <c r="W6" i="2" s="1"/>
  <c r="V4" i="2" a="1"/>
  <c r="V4" i="2" s="1"/>
  <c r="W10" i="2" a="1"/>
  <c r="W10" i="2" s="1"/>
  <c r="W8" i="2" a="1"/>
  <c r="W8" i="2" s="1"/>
  <c r="R6" i="2" a="1"/>
  <c r="R6" i="2" s="1"/>
  <c r="U4" i="2" a="1"/>
  <c r="U4" i="2" s="1"/>
  <c r="Q3" i="2" a="1"/>
  <c r="Q3" i="2" s="1"/>
  <c r="V3" i="2" a="1"/>
  <c r="V3" i="2" s="1"/>
  <c r="O3" i="2" a="1"/>
  <c r="O3" i="2" s="1"/>
  <c r="Q11" i="2" a="1"/>
  <c r="Q11" i="2" s="1"/>
  <c r="N10" i="2" a="1"/>
  <c r="N10" i="2" s="1"/>
  <c r="R9" i="2" a="1"/>
  <c r="R9" i="2" s="1"/>
  <c r="V8" i="2" a="1"/>
  <c r="V8" i="2" s="1"/>
  <c r="O8" i="2" a="1"/>
  <c r="O8" i="2" s="1"/>
  <c r="S7" i="2" a="1"/>
  <c r="S7" i="2" s="1"/>
  <c r="P6" i="2" a="1"/>
  <c r="P6" i="2" s="1"/>
  <c r="T5" i="2" a="1"/>
  <c r="T5" i="2" s="1"/>
  <c r="N5" i="2" a="1"/>
  <c r="N5" i="2" s="1"/>
  <c r="M4" i="2" a="1"/>
  <c r="M4" i="2" s="1"/>
  <c r="D5" i="2" a="1"/>
  <c r="D5" i="2" s="1"/>
  <c r="X5" i="2" s="1"/>
  <c r="H10" i="2" a="1"/>
  <c r="H10" i="2" s="1"/>
  <c r="G10" i="2" s="1"/>
  <c r="I10" i="2" s="1"/>
  <c r="E10" i="2" s="1" a="1"/>
  <c r="E10" i="2" s="1"/>
  <c r="F10" i="2" s="1"/>
  <c r="Q8" i="2" a="1"/>
  <c r="Q8" i="2" s="1"/>
  <c r="H4" i="2" a="1"/>
  <c r="H4" i="2" s="1"/>
  <c r="G4" i="2" s="1"/>
  <c r="I4" i="2" s="1"/>
  <c r="E4" i="2" s="1" a="1"/>
  <c r="E4" i="2" s="1"/>
  <c r="F4" i="2" s="1"/>
  <c r="U3" i="2" a="1"/>
  <c r="U3" i="2" s="1"/>
  <c r="N3" i="2" a="1"/>
  <c r="N3" i="2" s="1"/>
  <c r="P11" i="2" a="1"/>
  <c r="P11" i="2" s="1"/>
  <c r="U10" i="2" a="1"/>
  <c r="U10" i="2" s="1"/>
  <c r="M10" i="2" a="1"/>
  <c r="M10" i="2" s="1"/>
  <c r="Q9" i="2" a="1"/>
  <c r="Q9" i="2" s="1"/>
  <c r="U8" i="2" a="1"/>
  <c r="U8" i="2" s="1"/>
  <c r="N8" i="2" a="1"/>
  <c r="N8" i="2" s="1"/>
  <c r="R7" i="2" a="1"/>
  <c r="R7" i="2" s="1"/>
  <c r="V6" i="2" a="1"/>
  <c r="V6" i="2" s="1"/>
  <c r="O6" i="2" a="1"/>
  <c r="O6" i="2" s="1"/>
  <c r="S5" i="2" a="1"/>
  <c r="S5" i="2" s="1"/>
  <c r="S4" i="2" a="1"/>
  <c r="S4" i="2" s="1"/>
  <c r="D6" i="2" a="1"/>
  <c r="D6" i="2" s="1"/>
  <c r="H9" i="2" a="1"/>
  <c r="H9" i="2" s="1"/>
  <c r="G9" i="2" s="1"/>
  <c r="I9" i="2" s="1"/>
  <c r="E9" i="2" s="1" a="1"/>
  <c r="E9" i="2" s="1"/>
  <c r="F9" i="2" s="1"/>
  <c r="Q6" i="2" a="1"/>
  <c r="Q6" i="2" s="1"/>
  <c r="T3" i="2" a="1"/>
  <c r="T3" i="2" s="1"/>
  <c r="W11" i="2" a="1"/>
  <c r="W11" i="2" s="1"/>
  <c r="T10" i="2" a="1"/>
  <c r="T10" i="2" s="1"/>
  <c r="W9" i="2" a="1"/>
  <c r="W9" i="2" s="1"/>
  <c r="T8" i="2" a="1"/>
  <c r="T8" i="2" s="1"/>
  <c r="M8" i="2" a="1"/>
  <c r="M8" i="2" s="1"/>
  <c r="Q7" i="2" a="1"/>
  <c r="Q7" i="2" s="1"/>
  <c r="U6" i="2" a="1"/>
  <c r="U6" i="2" s="1"/>
  <c r="N6" i="2" a="1"/>
  <c r="N6" i="2" s="1"/>
  <c r="R5" i="2" a="1"/>
  <c r="R5" i="2" s="1"/>
  <c r="M5" i="2" a="1"/>
  <c r="M5" i="2" s="1"/>
  <c r="R4" i="2" a="1"/>
  <c r="R4" i="2" s="1"/>
  <c r="D11" i="2" a="1"/>
  <c r="D11" i="2" s="1"/>
  <c r="X11" i="2" s="1"/>
  <c r="S3" i="2" a="1"/>
  <c r="S3" i="2" s="1"/>
  <c r="V11" i="2" a="1"/>
  <c r="V11" i="2" s="1"/>
  <c r="O11" i="2" a="1"/>
  <c r="O11" i="2" s="1"/>
  <c r="S10" i="2" a="1"/>
  <c r="S10" i="2" s="1"/>
  <c r="P9" i="2" a="1"/>
  <c r="P9" i="2" s="1"/>
  <c r="S8" i="2" a="1"/>
  <c r="S8" i="2" s="1"/>
  <c r="W7" i="2" a="1"/>
  <c r="W7" i="2" s="1"/>
  <c r="M6" i="2" a="1"/>
  <c r="M6" i="2" s="1"/>
  <c r="Q4" i="2" a="1"/>
  <c r="Q4" i="2" s="1"/>
  <c r="Q10" i="2" a="1"/>
  <c r="Q10" i="2" s="1"/>
  <c r="M3" i="2" a="1"/>
  <c r="M3" i="2" s="1"/>
  <c r="M9" i="2" a="1"/>
  <c r="M9" i="2" s="1"/>
  <c r="R11" i="2" a="1"/>
  <c r="R11" i="2" s="1"/>
  <c r="R3" i="2" a="1"/>
  <c r="R3" i="2" s="1"/>
  <c r="R10" i="2" a="1"/>
  <c r="R10" i="2" s="1"/>
  <c r="O9" i="2" a="1"/>
  <c r="O9" i="2" s="1"/>
  <c r="W5" i="2" a="1"/>
  <c r="W5" i="2" s="1"/>
  <c r="G5" i="2"/>
  <c r="I5" i="2" s="1"/>
  <c r="E5" i="2" s="1" a="1"/>
  <c r="E5" i="2" s="1"/>
  <c r="G3" i="2"/>
  <c r="I3" i="2" s="1"/>
  <c r="E3" i="2" s="1" a="1"/>
  <c r="E3" i="2" s="1"/>
  <c r="G11" i="2"/>
  <c r="I11" i="2" s="1"/>
  <c r="E11" i="2" s="1" a="1"/>
  <c r="E11" i="2" s="1"/>
  <c r="X8" i="2" l="1"/>
  <c r="L6" i="2"/>
  <c r="L10" i="2"/>
  <c r="X7" i="2"/>
  <c r="F6" i="2"/>
  <c r="X6" i="2"/>
  <c r="L7" i="2"/>
  <c r="X3" i="2"/>
  <c r="X10" i="2"/>
  <c r="L5" i="2"/>
  <c r="X9" i="2"/>
  <c r="L8" i="2"/>
  <c r="L9" i="2"/>
  <c r="X4" i="2"/>
  <c r="L11" i="2"/>
  <c r="F7" i="2"/>
  <c r="L3" i="2"/>
  <c r="L4" i="2"/>
  <c r="F8" i="2"/>
  <c r="F11" i="2"/>
  <c r="F5" i="2"/>
  <c r="F3" i="2"/>
  <c r="E13" i="2"/>
  <c r="E14" i="2" l="1"/>
  <c r="E16" i="2" s="1"/>
  <c r="I16" i="2" l="1"/>
  <c r="C37" i="2"/>
  <c r="C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<sst xmlns="http://schemas.openxmlformats.org/spreadsheetml/2006/main" count="2923" uniqueCount="1962">
  <si>
    <t>key</t>
  </si>
  <si>
    <t>name</t>
  </si>
  <si>
    <t>price</t>
  </si>
  <si>
    <t>category</t>
  </si>
  <si>
    <t>angler</t>
  </si>
  <si>
    <t>artisan</t>
  </si>
  <si>
    <t>bearsknowledge</t>
  </si>
  <si>
    <t>blacksmith</t>
  </si>
  <si>
    <t>fisher</t>
  </si>
  <si>
    <t>forester</t>
  </si>
  <si>
    <t>gemologist</t>
  </si>
  <si>
    <t>rancher</t>
  </si>
  <si>
    <t>springonionmastery</t>
  </si>
  <si>
    <t>tapper</t>
  </si>
  <si>
    <t>tiller</t>
  </si>
  <si>
    <t>nil:nil</t>
  </si>
  <si>
    <t>[None]</t>
  </si>
  <si>
    <t>309:000</t>
  </si>
  <si>
    <t>Acorn</t>
  </si>
  <si>
    <t>867:000</t>
  </si>
  <si>
    <t>Advanced TV Remote</t>
  </si>
  <si>
    <t>541:000</t>
  </si>
  <si>
    <t>Aerinite</t>
  </si>
  <si>
    <t>Gems &amp; Minerals</t>
  </si>
  <si>
    <t>447:705</t>
  </si>
  <si>
    <t>Aged Albacore Roe</t>
  </si>
  <si>
    <t>Artisan Goods</t>
  </si>
  <si>
    <t>447:129</t>
  </si>
  <si>
    <t>Aged Anchovy Roe</t>
  </si>
  <si>
    <t>447:800</t>
  </si>
  <si>
    <t>Aged Blobfish Roe</t>
  </si>
  <si>
    <t>447:838</t>
  </si>
  <si>
    <t>Aged Blue Discus Roe</t>
  </si>
  <si>
    <t>447:132</t>
  </si>
  <si>
    <t>Aged Bream Roe</t>
  </si>
  <si>
    <t>447:700</t>
  </si>
  <si>
    <t>Aged Bullhead Roe</t>
  </si>
  <si>
    <t>447:142</t>
  </si>
  <si>
    <t>Aged Carp Roe</t>
  </si>
  <si>
    <t>447:143</t>
  </si>
  <si>
    <t>Aged Catfish Roe</t>
  </si>
  <si>
    <t>447:702</t>
  </si>
  <si>
    <t>Aged Chub Roe</t>
  </si>
  <si>
    <t>447:718</t>
  </si>
  <si>
    <t>Aged Cockle Roe</t>
  </si>
  <si>
    <t>447:717</t>
  </si>
  <si>
    <t>Aged Crab Roe</t>
  </si>
  <si>
    <t>447:716</t>
  </si>
  <si>
    <t>Aged Crayfish Roe</t>
  </si>
  <si>
    <t>447:704</t>
  </si>
  <si>
    <t>Aged Dorado Roe</t>
  </si>
  <si>
    <t>447:148</t>
  </si>
  <si>
    <t>Aged Eel Roe</t>
  </si>
  <si>
    <t>447:267</t>
  </si>
  <si>
    <t>Aged Flounder Roe</t>
  </si>
  <si>
    <t>447:156</t>
  </si>
  <si>
    <t>Aged Ghostfish Roe</t>
  </si>
  <si>
    <t>447:708</t>
  </si>
  <si>
    <t>Aged Halibut Roe</t>
  </si>
  <si>
    <t>447:147</t>
  </si>
  <si>
    <t>Aged Herring Roe</t>
  </si>
  <si>
    <t>447:161</t>
  </si>
  <si>
    <t>Aged Ice Pip Roe</t>
  </si>
  <si>
    <t>447:136</t>
  </si>
  <si>
    <t>Aged Largemouth Bass Roe</t>
  </si>
  <si>
    <t>447:162</t>
  </si>
  <si>
    <t>Aged Lava Eel Roe</t>
  </si>
  <si>
    <t>447:707</t>
  </si>
  <si>
    <t>Aged Lingcod Roe</t>
  </si>
  <si>
    <t>447:837</t>
  </si>
  <si>
    <t>Aged Lionfish Roe</t>
  </si>
  <si>
    <t>447:715</t>
  </si>
  <si>
    <t>Aged Lobster Roe</t>
  </si>
  <si>
    <t>447:269</t>
  </si>
  <si>
    <t>Aged Midnight Carp Roe</t>
  </si>
  <si>
    <t>447:798</t>
  </si>
  <si>
    <t>Aged Midnight Squid Roe</t>
  </si>
  <si>
    <t>447:719</t>
  </si>
  <si>
    <t>Aged Mussel Roe</t>
  </si>
  <si>
    <t>447:149</t>
  </si>
  <si>
    <t>Aged Octopus Roe</t>
  </si>
  <si>
    <t>447:723</t>
  </si>
  <si>
    <t>Aged Oyster Roe</t>
  </si>
  <si>
    <t>447:141</t>
  </si>
  <si>
    <t>Aged Perch Roe</t>
  </si>
  <si>
    <t>447:722</t>
  </si>
  <si>
    <t>Aged Periwinkle Roe</t>
  </si>
  <si>
    <t>447:144</t>
  </si>
  <si>
    <t>Aged Pike Roe</t>
  </si>
  <si>
    <t>447:128</t>
  </si>
  <si>
    <t>Aged Pufferfish Roe</t>
  </si>
  <si>
    <t>447:138</t>
  </si>
  <si>
    <t>Aged Rainbow Trout Roe</t>
  </si>
  <si>
    <t>447:146</t>
  </si>
  <si>
    <t>Aged Red Mullet Roe</t>
  </si>
  <si>
    <t>447:150</t>
  </si>
  <si>
    <t>Aged Red Snapper Roe</t>
  </si>
  <si>
    <t>447:000</t>
  </si>
  <si>
    <t>Aged Roe (Generic)</t>
  </si>
  <si>
    <t>447:139</t>
  </si>
  <si>
    <t>Aged Salmon Roe</t>
  </si>
  <si>
    <t>447:164</t>
  </si>
  <si>
    <t>Aged Sandfish Roe</t>
  </si>
  <si>
    <t>447:131</t>
  </si>
  <si>
    <t>Aged Sardine Roe</t>
  </si>
  <si>
    <t>447:165</t>
  </si>
  <si>
    <t>Aged Scorpion Carp Roe</t>
  </si>
  <si>
    <t>447:154</t>
  </si>
  <si>
    <t>Aged Sea Cucumber Roe</t>
  </si>
  <si>
    <t>447:706</t>
  </si>
  <si>
    <t>Aged Shad Roe</t>
  </si>
  <si>
    <t>447:720</t>
  </si>
  <si>
    <t>Aged Shrimp Roe</t>
  </si>
  <si>
    <t>447:796</t>
  </si>
  <si>
    <t>Aged Slimejack Roe</t>
  </si>
  <si>
    <t>447:137</t>
  </si>
  <si>
    <t>Aged Smallmouth Bass Roe</t>
  </si>
  <si>
    <t>447:721</t>
  </si>
  <si>
    <t>Aged Snail Roe</t>
  </si>
  <si>
    <t>447:799</t>
  </si>
  <si>
    <t>Aged Spook Fish Roe</t>
  </si>
  <si>
    <t>447:151</t>
  </si>
  <si>
    <t>Aged Squid Roe</t>
  </si>
  <si>
    <t>447:836</t>
  </si>
  <si>
    <t>Aged Stingray Roe</t>
  </si>
  <si>
    <t>447:158</t>
  </si>
  <si>
    <t>Aged Stonefish Roe</t>
  </si>
  <si>
    <t>447:145</t>
  </si>
  <si>
    <t>Aged Sunfish Roe</t>
  </si>
  <si>
    <t>447:155</t>
  </si>
  <si>
    <t>Aged Super Cucumber Roe</t>
  </si>
  <si>
    <t>447:699</t>
  </si>
  <si>
    <t>Aged Tiger Trout Roe</t>
  </si>
  <si>
    <t>447:701</t>
  </si>
  <si>
    <t>Aged Tilapia Roe</t>
  </si>
  <si>
    <t>447:130</t>
  </si>
  <si>
    <t>Aged Tuna Roe</t>
  </si>
  <si>
    <t>447:795</t>
  </si>
  <si>
    <t>Aged Void Salmon Roe</t>
  </si>
  <si>
    <t>447:140</t>
  </si>
  <si>
    <t>Aged Walleye Roe</t>
  </si>
  <si>
    <t>447:734</t>
  </si>
  <si>
    <t>Aged Woodskip Roe</t>
  </si>
  <si>
    <t>538:000</t>
  </si>
  <si>
    <t>Alamite</t>
  </si>
  <si>
    <t>705:000</t>
  </si>
  <si>
    <t>Albacore</t>
  </si>
  <si>
    <t>Fish</t>
  </si>
  <si>
    <t>812:705</t>
  </si>
  <si>
    <t>Albacore Roe</t>
  </si>
  <si>
    <t>456:000</t>
  </si>
  <si>
    <t>Algae Soup</t>
  </si>
  <si>
    <t>Cooked Items</t>
  </si>
  <si>
    <t>300:000</t>
  </si>
  <si>
    <t>Amaranth</t>
  </si>
  <si>
    <t>Vegetables</t>
  </si>
  <si>
    <t>350:300</t>
  </si>
  <si>
    <t>Amaranth Juice</t>
  </si>
  <si>
    <t>299:000</t>
  </si>
  <si>
    <t>Amaranth Seeds</t>
  </si>
  <si>
    <t>066:000</t>
  </si>
  <si>
    <t>Amethyst</t>
  </si>
  <si>
    <t>529:000</t>
  </si>
  <si>
    <t>Amethyst Ring</t>
  </si>
  <si>
    <t>587:000</t>
  </si>
  <si>
    <t>Amphibian Fossil</t>
  </si>
  <si>
    <t>117:000</t>
  </si>
  <si>
    <t>Anchor</t>
  </si>
  <si>
    <t>129:000</t>
  </si>
  <si>
    <t>Anchovy</t>
  </si>
  <si>
    <t>812:129</t>
  </si>
  <si>
    <t>Anchovy Roe</t>
  </si>
  <si>
    <t>103:000</t>
  </si>
  <si>
    <t>Ancient Doll</t>
  </si>
  <si>
    <t>123:000</t>
  </si>
  <si>
    <t>Ancient Drum</t>
  </si>
  <si>
    <t>454:000</t>
  </si>
  <si>
    <t>Ancient Fruit</t>
  </si>
  <si>
    <t>Fruit</t>
  </si>
  <si>
    <t>344:454</t>
  </si>
  <si>
    <t>Ancient Fruit Jelly</t>
  </si>
  <si>
    <t>348:454</t>
  </si>
  <si>
    <t>Ancient Fruit Wine</t>
  </si>
  <si>
    <t>114:000</t>
  </si>
  <si>
    <t>Ancient Seed</t>
  </si>
  <si>
    <t>499:000</t>
  </si>
  <si>
    <t>Ancient Seeds</t>
  </si>
  <si>
    <t>109:000</t>
  </si>
  <si>
    <t>Ancient Sword</t>
  </si>
  <si>
    <t>160:000</t>
  </si>
  <si>
    <t>Angler</t>
  </si>
  <si>
    <t>613:000</t>
  </si>
  <si>
    <t>Apple</t>
  </si>
  <si>
    <t>344:613</t>
  </si>
  <si>
    <t>Apple Jelly</t>
  </si>
  <si>
    <t>633:000</t>
  </si>
  <si>
    <t>Apple Sapling</t>
  </si>
  <si>
    <t>348:613</t>
  </si>
  <si>
    <t>Apple Wine</t>
  </si>
  <si>
    <t>634:000</t>
  </si>
  <si>
    <t>Apricot</t>
  </si>
  <si>
    <t>344:634</t>
  </si>
  <si>
    <t>Apricot Jelly</t>
  </si>
  <si>
    <t>629:000</t>
  </si>
  <si>
    <t>Apricot Sapling</t>
  </si>
  <si>
    <t>348:634</t>
  </si>
  <si>
    <t>Apricot Wine</t>
  </si>
  <si>
    <t>062:000</t>
  </si>
  <si>
    <t>Aquamarine</t>
  </si>
  <si>
    <t>531:000</t>
  </si>
  <si>
    <t>Aquamarine Ring</t>
  </si>
  <si>
    <t>868:000</t>
  </si>
  <si>
    <t>Arctic Shard</t>
  </si>
  <si>
    <t>101:000</t>
  </si>
  <si>
    <t>Arrowhead</t>
  </si>
  <si>
    <t>274:000</t>
  </si>
  <si>
    <t>Artichoke</t>
  </si>
  <si>
    <t>605:000</t>
  </si>
  <si>
    <t>Artichoke Dip</t>
  </si>
  <si>
    <t>350:274</t>
  </si>
  <si>
    <t>Artichoke Juice</t>
  </si>
  <si>
    <t>489:000</t>
  </si>
  <si>
    <t>Artichoke Seeds</t>
  </si>
  <si>
    <t>590:000</t>
  </si>
  <si>
    <t>Artifact Spot</t>
  </si>
  <si>
    <t>275:000</t>
  </si>
  <si>
    <t>Artifact Trove</t>
  </si>
  <si>
    <t>235:000</t>
  </si>
  <si>
    <t>Autumn's Bounty</t>
  </si>
  <si>
    <t>685:000</t>
  </si>
  <si>
    <t>Bait</t>
  </si>
  <si>
    <t>198:000</t>
  </si>
  <si>
    <t>Baked Fish</t>
  </si>
  <si>
    <t>091:000</t>
  </si>
  <si>
    <t>Banana</t>
  </si>
  <si>
    <t>344:091</t>
  </si>
  <si>
    <t>Banana Jelly</t>
  </si>
  <si>
    <t>904:000</t>
  </si>
  <si>
    <t>Banana Pudding</t>
  </si>
  <si>
    <t>069:000</t>
  </si>
  <si>
    <t>Banana Sapling</t>
  </si>
  <si>
    <t>348:091</t>
  </si>
  <si>
    <t>Banana Wine</t>
  </si>
  <si>
    <t>691:000</t>
  </si>
  <si>
    <t>Barbed Hook</t>
  </si>
  <si>
    <t>540:000</t>
  </si>
  <si>
    <t>Baryte</t>
  </si>
  <si>
    <t>570:000</t>
  </si>
  <si>
    <t>Basalt</t>
  </si>
  <si>
    <t>368:000</t>
  </si>
  <si>
    <t>Basic Fertilizer</t>
  </si>
  <si>
    <t>370:000</t>
  </si>
  <si>
    <t>Basic Retaining Soil</t>
  </si>
  <si>
    <t>767:000</t>
  </si>
  <si>
    <t>Bat Wing</t>
  </si>
  <si>
    <t>787:000</t>
  </si>
  <si>
    <t>Battery Pack</t>
  </si>
  <si>
    <t>207:000</t>
  </si>
  <si>
    <t>Bean Hotpot</t>
  </si>
  <si>
    <t>473:000</t>
  </si>
  <si>
    <t>Bean Starter</t>
  </si>
  <si>
    <t>346:000</t>
  </si>
  <si>
    <t>Beer</t>
  </si>
  <si>
    <t>284:000</t>
  </si>
  <si>
    <t>Beet</t>
  </si>
  <si>
    <t>350:284</t>
  </si>
  <si>
    <t>Beet Juice</t>
  </si>
  <si>
    <t>494:000</t>
  </si>
  <si>
    <t>Beet Seeds</t>
  </si>
  <si>
    <t>790:000</t>
  </si>
  <si>
    <t>Berry Basket</t>
  </si>
  <si>
    <t>539:000</t>
  </si>
  <si>
    <t>Bixite</t>
  </si>
  <si>
    <t>410:000</t>
  </si>
  <si>
    <t>Blackberry</t>
  </si>
  <si>
    <t>611:000</t>
  </si>
  <si>
    <t>Blackberry Cobbler</t>
  </si>
  <si>
    <t>344:410</t>
  </si>
  <si>
    <t>Blackberry Jelly</t>
  </si>
  <si>
    <t>348:410</t>
  </si>
  <si>
    <t>Blackberry Wine</t>
  </si>
  <si>
    <t>800:000</t>
  </si>
  <si>
    <t>Blobfish</t>
  </si>
  <si>
    <t>812:800</t>
  </si>
  <si>
    <t>Blobfish Roe</t>
  </si>
  <si>
    <t>838:000</t>
  </si>
  <si>
    <t>Blue Discus</t>
  </si>
  <si>
    <t>812:838</t>
  </si>
  <si>
    <t>Blue Discus Roe</t>
  </si>
  <si>
    <t>597:000</t>
  </si>
  <si>
    <t>Blue Jazz</t>
  </si>
  <si>
    <t>Forage &amp; Flowers</t>
  </si>
  <si>
    <t>340:597</t>
  </si>
  <si>
    <t>Blue Jazz Honey</t>
  </si>
  <si>
    <t>413:000</t>
  </si>
  <si>
    <t>Blue Slime Egg</t>
  </si>
  <si>
    <t>258:000</t>
  </si>
  <si>
    <t>Blueberry</t>
  </si>
  <si>
    <t>344:258</t>
  </si>
  <si>
    <t>Blueberry Jelly</t>
  </si>
  <si>
    <t>481:000</t>
  </si>
  <si>
    <t>Blueberry Seeds</t>
  </si>
  <si>
    <t>234:000</t>
  </si>
  <si>
    <t>Blueberry Tart</t>
  </si>
  <si>
    <t>348:258</t>
  </si>
  <si>
    <t>Blueberry Wine</t>
  </si>
  <si>
    <t>278:000</t>
  </si>
  <si>
    <t>Bok Choy</t>
  </si>
  <si>
    <t>350:278</t>
  </si>
  <si>
    <t>Bok Choy Juice</t>
  </si>
  <si>
    <t>491:000</t>
  </si>
  <si>
    <t>Bok Choy Seeds</t>
  </si>
  <si>
    <t>287:000</t>
  </si>
  <si>
    <t>Bomb</t>
  </si>
  <si>
    <t>119:000</t>
  </si>
  <si>
    <t>Bone Flute</t>
  </si>
  <si>
    <t>881:000</t>
  </si>
  <si>
    <t>Bone Fragment</t>
  </si>
  <si>
    <t>458:000</t>
  </si>
  <si>
    <t>Bouquet</t>
  </si>
  <si>
    <t>216:000</t>
  </si>
  <si>
    <t>Bread</t>
  </si>
  <si>
    <t>132:000</t>
  </si>
  <si>
    <t>Bream</t>
  </si>
  <si>
    <t>812:132</t>
  </si>
  <si>
    <t>Bream Roe</t>
  </si>
  <si>
    <t>293:000</t>
  </si>
  <si>
    <t>Brick Floor</t>
  </si>
  <si>
    <t>171:000</t>
  </si>
  <si>
    <t>Broken CD</t>
  </si>
  <si>
    <t>170:000</t>
  </si>
  <si>
    <t>Broken Glasses</t>
  </si>
  <si>
    <t>618:000</t>
  </si>
  <si>
    <t>Bruschetta</t>
  </si>
  <si>
    <t>684:000</t>
  </si>
  <si>
    <t>Bug Meat</t>
  </si>
  <si>
    <t>874:000</t>
  </si>
  <si>
    <t>Bug Steak</t>
  </si>
  <si>
    <t>700:000</t>
  </si>
  <si>
    <t>Bullhead</t>
  </si>
  <si>
    <t>812:700</t>
  </si>
  <si>
    <t>Bullhead Roe</t>
  </si>
  <si>
    <t>526:000</t>
  </si>
  <si>
    <t>Burglar's Ring</t>
  </si>
  <si>
    <t>090:000</t>
  </si>
  <si>
    <t>Cactus Fruit</t>
  </si>
  <si>
    <t>344:090</t>
  </si>
  <si>
    <t>Cactus Fruit Jelly</t>
  </si>
  <si>
    <t>348:090</t>
  </si>
  <si>
    <t>Cactus Fruit Wine</t>
  </si>
  <si>
    <t>802:000</t>
  </si>
  <si>
    <t>Cactus Seeds</t>
  </si>
  <si>
    <t>542:000</t>
  </si>
  <si>
    <t>Calcite</t>
  </si>
  <si>
    <t>927:000</t>
  </si>
  <si>
    <t>Camping Stove</t>
  </si>
  <si>
    <t>142:000</t>
  </si>
  <si>
    <t>Carp</t>
  </si>
  <si>
    <t>812:142</t>
  </si>
  <si>
    <t>Carp Roe</t>
  </si>
  <si>
    <t>209:000</t>
  </si>
  <si>
    <t>Carp Surprise</t>
  </si>
  <si>
    <t>143:000</t>
  </si>
  <si>
    <t>Catfish</t>
  </si>
  <si>
    <t>812:143</t>
  </si>
  <si>
    <t>Catfish Roe</t>
  </si>
  <si>
    <t>190:000</t>
  </si>
  <si>
    <t>Cauliflower</t>
  </si>
  <si>
    <t>350:190</t>
  </si>
  <si>
    <t>Cauliflower Juice</t>
  </si>
  <si>
    <t>474:000</t>
  </si>
  <si>
    <t>Cauliflower Seeds</t>
  </si>
  <si>
    <t>078:000</t>
  </si>
  <si>
    <t>Cave Carrot</t>
  </si>
  <si>
    <t>445:000</t>
  </si>
  <si>
    <t>Caviar</t>
  </si>
  <si>
    <t>566:000</t>
  </si>
  <si>
    <t>Celestine</t>
  </si>
  <si>
    <t>281:000</t>
  </si>
  <si>
    <t>Chanterelle</t>
  </si>
  <si>
    <t>424:000</t>
  </si>
  <si>
    <t>Cheese</t>
  </si>
  <si>
    <t>197:000</t>
  </si>
  <si>
    <t>Cheese Cauliflower</t>
  </si>
  <si>
    <t>638:000</t>
  </si>
  <si>
    <t>Cherry</t>
  </si>
  <si>
    <t>286:000</t>
  </si>
  <si>
    <t>Cherry Bomb</t>
  </si>
  <si>
    <t>344:638</t>
  </si>
  <si>
    <t>Cherry Jelly</t>
  </si>
  <si>
    <t>628:000</t>
  </si>
  <si>
    <t>Cherry Sapling</t>
  </si>
  <si>
    <t>348:638</t>
  </si>
  <si>
    <t>Cherry Wine</t>
  </si>
  <si>
    <t>105:000</t>
  </si>
  <si>
    <t>Chewing Stick</t>
  </si>
  <si>
    <t>113:000</t>
  </si>
  <si>
    <t>Chicken Statue</t>
  </si>
  <si>
    <t>100:000</t>
  </si>
  <si>
    <t>Chipped Amphora</t>
  </si>
  <si>
    <t>220:000</t>
  </si>
  <si>
    <t>Chocolate Cake</t>
  </si>
  <si>
    <t>727:000</t>
  </si>
  <si>
    <t>Chowder</t>
  </si>
  <si>
    <t>702:000</t>
  </si>
  <si>
    <t>Chub</t>
  </si>
  <si>
    <t>812:702</t>
  </si>
  <si>
    <t>Chub Roe</t>
  </si>
  <si>
    <t>848:000</t>
  </si>
  <si>
    <t>Cinder Shard</t>
  </si>
  <si>
    <t>372:000</t>
  </si>
  <si>
    <t>Clam</t>
  </si>
  <si>
    <t>330:000</t>
  </si>
  <si>
    <t>Clay</t>
  </si>
  <si>
    <t>428:000</t>
  </si>
  <si>
    <t>Cloth</t>
  </si>
  <si>
    <t>382:000</t>
  </si>
  <si>
    <t>Coal</t>
  </si>
  <si>
    <t>411:000</t>
  </si>
  <si>
    <t>Cobblestone Path</t>
  </si>
  <si>
    <t>718:000</t>
  </si>
  <si>
    <t>Cockle</t>
  </si>
  <si>
    <t>812:718</t>
  </si>
  <si>
    <t>Cockle Roe</t>
  </si>
  <si>
    <t>088:000</t>
  </si>
  <si>
    <t>Coconut</t>
  </si>
  <si>
    <t>344:088</t>
  </si>
  <si>
    <t>Coconut Jelly</t>
  </si>
  <si>
    <t>348:088</t>
  </si>
  <si>
    <t>Coconut Wine</t>
  </si>
  <si>
    <t>395:000</t>
  </si>
  <si>
    <t>Coffee</t>
  </si>
  <si>
    <t>433:000</t>
  </si>
  <si>
    <t>Coffee Bean</t>
  </si>
  <si>
    <t>648:000</t>
  </si>
  <si>
    <t>Coleslaw</t>
  </si>
  <si>
    <t>880:000</t>
  </si>
  <si>
    <t>Combined Ring</t>
  </si>
  <si>
    <t>404:000</t>
  </si>
  <si>
    <t>Common Mushroom</t>
  </si>
  <si>
    <t>201:000</t>
  </si>
  <si>
    <t>Complete Breakfast</t>
  </si>
  <si>
    <t>223:000</t>
  </si>
  <si>
    <t>Cookie</t>
  </si>
  <si>
    <t>926:000</t>
  </si>
  <si>
    <t>Cookout Kit</t>
  </si>
  <si>
    <t>334:000</t>
  </si>
  <si>
    <t>Copper Bar</t>
  </si>
  <si>
    <t>378:000</t>
  </si>
  <si>
    <t>Copper Ore</t>
  </si>
  <si>
    <t>393:000</t>
  </si>
  <si>
    <t>Coral</t>
  </si>
  <si>
    <t>695:000</t>
  </si>
  <si>
    <t>Cork Bobber</t>
  </si>
  <si>
    <t>270:000</t>
  </si>
  <si>
    <t>Corn</t>
  </si>
  <si>
    <t>350:270</t>
  </si>
  <si>
    <t>Corn Juice</t>
  </si>
  <si>
    <t>487:000</t>
  </si>
  <si>
    <t>Corn Seeds</t>
  </si>
  <si>
    <t>717:000</t>
  </si>
  <si>
    <t>Crab</t>
  </si>
  <si>
    <t>732:000</t>
  </si>
  <si>
    <t>Crab Cakes</t>
  </si>
  <si>
    <t>710:000</t>
  </si>
  <si>
    <t>Crab Pot</t>
  </si>
  <si>
    <t>812:717</t>
  </si>
  <si>
    <t>Crab Roe</t>
  </si>
  <si>
    <t>810:000</t>
  </si>
  <si>
    <t>Crabshell Ring</t>
  </si>
  <si>
    <t>282:000</t>
  </si>
  <si>
    <t>Cranberries</t>
  </si>
  <si>
    <t>344:282</t>
  </si>
  <si>
    <t>Cranberries Jelly</t>
  </si>
  <si>
    <t>348:282</t>
  </si>
  <si>
    <t>Cranberries Wine</t>
  </si>
  <si>
    <t>612:000</t>
  </si>
  <si>
    <t>Cranberry Candy</t>
  </si>
  <si>
    <t>238:000</t>
  </si>
  <si>
    <t>Cranberry Sauce</t>
  </si>
  <si>
    <t>493:000</t>
  </si>
  <si>
    <t>Cranberry Seeds</t>
  </si>
  <si>
    <t>716:000</t>
  </si>
  <si>
    <t>Crayfish</t>
  </si>
  <si>
    <t>812:716</t>
  </si>
  <si>
    <t>Crayfish Roe</t>
  </si>
  <si>
    <t>159:000</t>
  </si>
  <si>
    <t>Crimsonfish</t>
  </si>
  <si>
    <t>214:000</t>
  </si>
  <si>
    <t>Crispy Bass</t>
  </si>
  <si>
    <t>418:000</t>
  </si>
  <si>
    <t>Crocus</t>
  </si>
  <si>
    <t>340:418</t>
  </si>
  <si>
    <t>Crocus Honey</t>
  </si>
  <si>
    <t>333:000</t>
  </si>
  <si>
    <t>Crystal Floor</t>
  </si>
  <si>
    <t>414:000</t>
  </si>
  <si>
    <t>Crystal Fruit</t>
  </si>
  <si>
    <t>344:414</t>
  </si>
  <si>
    <t>Crystal Fruit Jelly</t>
  </si>
  <si>
    <t>348:414</t>
  </si>
  <si>
    <t>Crystal Fruit Wine</t>
  </si>
  <si>
    <t>409:000</t>
  </si>
  <si>
    <t>Crystal Path</t>
  </si>
  <si>
    <t>856:000</t>
  </si>
  <si>
    <t>Curiosity Lure</t>
  </si>
  <si>
    <t>018:000</t>
  </si>
  <si>
    <t>Daffodil</t>
  </si>
  <si>
    <t>022:000</t>
  </si>
  <si>
    <t>Dandelion</t>
  </si>
  <si>
    <t>461:000</t>
  </si>
  <si>
    <t>Decorative Pot</t>
  </si>
  <si>
    <t>919:000</t>
  </si>
  <si>
    <t>Deluxe Fertilizer</t>
  </si>
  <si>
    <t>920:000</t>
  </si>
  <si>
    <t>Deluxe Retaining Soil</t>
  </si>
  <si>
    <t>466:000</t>
  </si>
  <si>
    <t>Deluxe Speed-Gro</t>
  </si>
  <si>
    <t>072:000</t>
  </si>
  <si>
    <t>Diamond</t>
  </si>
  <si>
    <t>107:000</t>
  </si>
  <si>
    <t>Dinosaur Egg</t>
  </si>
  <si>
    <t>807:000</t>
  </si>
  <si>
    <t>Dinosaur Mayonnaise</t>
  </si>
  <si>
    <t>242:000</t>
  </si>
  <si>
    <t>Dish O' The Sea</t>
  </si>
  <si>
    <t>543:000</t>
  </si>
  <si>
    <t>Dolomite</t>
  </si>
  <si>
    <t>704:000</t>
  </si>
  <si>
    <t>Dorado</t>
  </si>
  <si>
    <t>812:704</t>
  </si>
  <si>
    <t>Dorado Roe</t>
  </si>
  <si>
    <t>852:000</t>
  </si>
  <si>
    <t>Dragon Tooth</t>
  </si>
  <si>
    <t>687:000</t>
  </si>
  <si>
    <t>Dressed Spinner</t>
  </si>
  <si>
    <t>116:000</t>
  </si>
  <si>
    <t>Dried Starfish</t>
  </si>
  <si>
    <t>169:000</t>
  </si>
  <si>
    <t>Driftwood</t>
  </si>
  <si>
    <t>463:000</t>
  </si>
  <si>
    <t>Drum Block</t>
  </si>
  <si>
    <t>442:000</t>
  </si>
  <si>
    <t>Duck Egg</t>
  </si>
  <si>
    <t>Animal Products</t>
  </si>
  <si>
    <t>444:000</t>
  </si>
  <si>
    <t>Duck Feather</t>
  </si>
  <si>
    <t>307:000</t>
  </si>
  <si>
    <t>Duck Mayonnaise</t>
  </si>
  <si>
    <t>122:000</t>
  </si>
  <si>
    <t>Dwarf Gadget</t>
  </si>
  <si>
    <t>096:000</t>
  </si>
  <si>
    <t>Dwarf Scroll I</t>
  </si>
  <si>
    <t>097:000</t>
  </si>
  <si>
    <t>Dwarf Scroll II</t>
  </si>
  <si>
    <t>098:000</t>
  </si>
  <si>
    <t>Dwarf Scroll III</t>
  </si>
  <si>
    <t>099:000</t>
  </si>
  <si>
    <t>Dwarf Scroll IV</t>
  </si>
  <si>
    <t>121:000</t>
  </si>
  <si>
    <t>Dwarvish Helm</t>
  </si>
  <si>
    <t>326:000</t>
  </si>
  <si>
    <t>Dwarvish Translation Guide</t>
  </si>
  <si>
    <t>086:000</t>
  </si>
  <si>
    <t>Earth Crystal</t>
  </si>
  <si>
    <t>875:000</t>
  </si>
  <si>
    <t>Ectoplasm</t>
  </si>
  <si>
    <t>148:000</t>
  </si>
  <si>
    <t>Eel</t>
  </si>
  <si>
    <t>812:148</t>
  </si>
  <si>
    <t>Eel Roe</t>
  </si>
  <si>
    <t>180:000</t>
  </si>
  <si>
    <t>Egg (Brown)</t>
  </si>
  <si>
    <t>176:000</t>
  </si>
  <si>
    <t>Egg (White)</t>
  </si>
  <si>
    <t>272:000</t>
  </si>
  <si>
    <t>Eggplant</t>
  </si>
  <si>
    <t>350:272</t>
  </si>
  <si>
    <t>Eggplant Juice</t>
  </si>
  <si>
    <t>231:000</t>
  </si>
  <si>
    <t>Eggplant Parmesan</t>
  </si>
  <si>
    <t>488:000</t>
  </si>
  <si>
    <t>Eggplant Seeds</t>
  </si>
  <si>
    <t>104:000</t>
  </si>
  <si>
    <t>Elvish Jewelry</t>
  </si>
  <si>
    <t>060:000</t>
  </si>
  <si>
    <t>Emerald</t>
  </si>
  <si>
    <t>533:000</t>
  </si>
  <si>
    <t>Emerald Ring</t>
  </si>
  <si>
    <t>349:000</t>
  </si>
  <si>
    <t>Energy Tonic</t>
  </si>
  <si>
    <t>913:000</t>
  </si>
  <si>
    <t>Enricher</t>
  </si>
  <si>
    <t>729:000</t>
  </si>
  <si>
    <t>Escargot</t>
  </si>
  <si>
    <t>544:000</t>
  </si>
  <si>
    <t>Esperite</t>
  </si>
  <si>
    <t>441:000</t>
  </si>
  <si>
    <t>Explosive Ammo</t>
  </si>
  <si>
    <t>872:000</t>
  </si>
  <si>
    <t>Fairy Dust</t>
  </si>
  <si>
    <t>595:000</t>
  </si>
  <si>
    <t>Fairy Rose</t>
  </si>
  <si>
    <t>340:595</t>
  </si>
  <si>
    <t>Fairy Rose Honey</t>
  </si>
  <si>
    <t>425:000</t>
  </si>
  <si>
    <t>Fairy Seeds</t>
  </si>
  <si>
    <t>577:000</t>
  </si>
  <si>
    <t>Fairy Stone</t>
  </si>
  <si>
    <t>497:000</t>
  </si>
  <si>
    <t>Fall Seeds</t>
  </si>
  <si>
    <t>240:000</t>
  </si>
  <si>
    <t>Farmer's Lunch</t>
  </si>
  <si>
    <t>771:000</t>
  </si>
  <si>
    <t>Fiber</t>
  </si>
  <si>
    <t>885:000</t>
  </si>
  <si>
    <t>Fiber Seeds</t>
  </si>
  <si>
    <t>259:000</t>
  </si>
  <si>
    <t>Fiddlehead Fern</t>
  </si>
  <si>
    <t>350:259</t>
  </si>
  <si>
    <t>Fiddlehead Fern Juice</t>
  </si>
  <si>
    <t>649:000</t>
  </si>
  <si>
    <t>Fiddlehead Risotto</t>
  </si>
  <si>
    <t>403:000</t>
  </si>
  <si>
    <t>Field Snack</t>
  </si>
  <si>
    <t>565:000</t>
  </si>
  <si>
    <t>Fire Opal</t>
  </si>
  <si>
    <t>082:000</t>
  </si>
  <si>
    <t>Fire Quartz</t>
  </si>
  <si>
    <t>895:000</t>
  </si>
  <si>
    <t>Fireworks (Green)</t>
  </si>
  <si>
    <t>894:000</t>
  </si>
  <si>
    <t>Fireworks (Purple)</t>
  </si>
  <si>
    <t>893:000</t>
  </si>
  <si>
    <t>Fireworks (Red)</t>
  </si>
  <si>
    <t>728:000</t>
  </si>
  <si>
    <t>Fish Stew</t>
  </si>
  <si>
    <t>213:000</t>
  </si>
  <si>
    <t>Fish Taco</t>
  </si>
  <si>
    <t>267:000</t>
  </si>
  <si>
    <t>Flounder</t>
  </si>
  <si>
    <t>812:267</t>
  </si>
  <si>
    <t>Flounder Roe</t>
  </si>
  <si>
    <t>545:000</t>
  </si>
  <si>
    <t>Fluorapatite</t>
  </si>
  <si>
    <t>464:000</t>
  </si>
  <si>
    <t>Flute Block</t>
  </si>
  <si>
    <t>823:000</t>
  </si>
  <si>
    <t>Fossilized Leg</t>
  </si>
  <si>
    <t>824:000</t>
  </si>
  <si>
    <t>Fossilized Ribs</t>
  </si>
  <si>
    <t>820:000</t>
  </si>
  <si>
    <t>Fossilized Skull</t>
  </si>
  <si>
    <t>821:000</t>
  </si>
  <si>
    <t>Fossilized Spine</t>
  </si>
  <si>
    <t>822:000</t>
  </si>
  <si>
    <t>Fossilized Tail</t>
  </si>
  <si>
    <t>202:000</t>
  </si>
  <si>
    <t>Fried Calamari</t>
  </si>
  <si>
    <t>225:000</t>
  </si>
  <si>
    <t>Fried Eel</t>
  </si>
  <si>
    <t>194:000</t>
  </si>
  <si>
    <t>Fried Egg</t>
  </si>
  <si>
    <t>205:000</t>
  </si>
  <si>
    <t>Fried Mushroom</t>
  </si>
  <si>
    <t>536:000</t>
  </si>
  <si>
    <t>Frozen Geode</t>
  </si>
  <si>
    <t>084:000</t>
  </si>
  <si>
    <t>Frozen Tear</t>
  </si>
  <si>
    <t>610:000</t>
  </si>
  <si>
    <t>Fruit Salad</t>
  </si>
  <si>
    <t>896:000</t>
  </si>
  <si>
    <t>Galaxy Soul</t>
  </si>
  <si>
    <t>248:000</t>
  </si>
  <si>
    <t>Garlic</t>
  </si>
  <si>
    <t>350:248</t>
  </si>
  <si>
    <t>Garlic Juice</t>
  </si>
  <si>
    <t>476:000</t>
  </si>
  <si>
    <t>Garlic Seeds</t>
  </si>
  <si>
    <t>325:000</t>
  </si>
  <si>
    <t>Gate</t>
  </si>
  <si>
    <t>546:000</t>
  </si>
  <si>
    <t>Geminite</t>
  </si>
  <si>
    <t>535:000</t>
  </si>
  <si>
    <t>Geode</t>
  </si>
  <si>
    <t>561:000</t>
  </si>
  <si>
    <t>Ghost Crystal</t>
  </si>
  <si>
    <t>156:000</t>
  </si>
  <si>
    <t>Ghostfish</t>
  </si>
  <si>
    <t>812:156</t>
  </si>
  <si>
    <t>Ghostfish Roe</t>
  </si>
  <si>
    <t>829:000</t>
  </si>
  <si>
    <t>Ginger</t>
  </si>
  <si>
    <t>903:000</t>
  </si>
  <si>
    <t>Ginger Ale</t>
  </si>
  <si>
    <t>775:000</t>
  </si>
  <si>
    <t>Glacierfish</t>
  </si>
  <si>
    <t>902:000</t>
  </si>
  <si>
    <t>Glacierfish Jr.</t>
  </si>
  <si>
    <t>118:000</t>
  </si>
  <si>
    <t>Glass Shards</t>
  </si>
  <si>
    <t>208:000</t>
  </si>
  <si>
    <t>Glazed Yams</t>
  </si>
  <si>
    <t>517:000</t>
  </si>
  <si>
    <t>Glow Ring</t>
  </si>
  <si>
    <t>888:000</t>
  </si>
  <si>
    <t>Glowstone Ring</t>
  </si>
  <si>
    <t>426:000</t>
  </si>
  <si>
    <t>Goat Cheese</t>
  </si>
  <si>
    <t>436:000</t>
  </si>
  <si>
    <t>Goat Milk</t>
  </si>
  <si>
    <t>336:000</t>
  </si>
  <si>
    <t>Gold Bar</t>
  </si>
  <si>
    <t>384:000</t>
  </si>
  <si>
    <t>Gold Ore</t>
  </si>
  <si>
    <t>791:000</t>
  </si>
  <si>
    <t>Golden Coconut</t>
  </si>
  <si>
    <t>928:000</t>
  </si>
  <si>
    <t>Golden Egg</t>
  </si>
  <si>
    <t>124:000</t>
  </si>
  <si>
    <t>Golden Mask</t>
  </si>
  <si>
    <t>373:000</t>
  </si>
  <si>
    <t>Golden Pumpkin</t>
  </si>
  <si>
    <t>125:000</t>
  </si>
  <si>
    <t>Golden Relic</t>
  </si>
  <si>
    <t>073:000</t>
  </si>
  <si>
    <t>Golden Walnut</t>
  </si>
  <si>
    <t>865:000</t>
  </si>
  <si>
    <t>Gourmet Tomato Salt</t>
  </si>
  <si>
    <t>569:000</t>
  </si>
  <si>
    <t>Granite</t>
  </si>
  <si>
    <t>398:000</t>
  </si>
  <si>
    <t>Grape</t>
  </si>
  <si>
    <t>344:398</t>
  </si>
  <si>
    <t>Grape Jelly</t>
  </si>
  <si>
    <t>301:000</t>
  </si>
  <si>
    <t>Grape Starter</t>
  </si>
  <si>
    <t>348:398</t>
  </si>
  <si>
    <t>Grape Wine</t>
  </si>
  <si>
    <t>297:000</t>
  </si>
  <si>
    <t>Grass Starter</t>
  </si>
  <si>
    <t>407:000</t>
  </si>
  <si>
    <t>Gravel Path</t>
  </si>
  <si>
    <t>153:000</t>
  </si>
  <si>
    <t>Green Algae</t>
  </si>
  <si>
    <t>188:000</t>
  </si>
  <si>
    <t>Green Bean</t>
  </si>
  <si>
    <t>350:188</t>
  </si>
  <si>
    <t>Green Bean Juice</t>
  </si>
  <si>
    <t>680:000</t>
  </si>
  <si>
    <t>Green Slime Egg</t>
  </si>
  <si>
    <t>614:000</t>
  </si>
  <si>
    <t>Green Tea</t>
  </si>
  <si>
    <t>708:000</t>
  </si>
  <si>
    <t>Halibut</t>
  </si>
  <si>
    <t>812:708</t>
  </si>
  <si>
    <t>Halibut Roe</t>
  </si>
  <si>
    <t>709:000</t>
  </si>
  <si>
    <t>Hardwood</t>
  </si>
  <si>
    <t>298:000</t>
  </si>
  <si>
    <t>Hardwood Fence</t>
  </si>
  <si>
    <t>210:000</t>
  </si>
  <si>
    <t>Hashbrowns</t>
  </si>
  <si>
    <t>178:000</t>
  </si>
  <si>
    <t>Hay</t>
  </si>
  <si>
    <t>408:000</t>
  </si>
  <si>
    <t>Hazelnut</t>
  </si>
  <si>
    <t>929:000</t>
  </si>
  <si>
    <t>Hedge</t>
  </si>
  <si>
    <t>547:000</t>
  </si>
  <si>
    <t>Helvite</t>
  </si>
  <si>
    <t>573:000</t>
  </si>
  <si>
    <t>Hematite</t>
  </si>
  <si>
    <t>147:000</t>
  </si>
  <si>
    <t>Herring</t>
  </si>
  <si>
    <t>812:147</t>
  </si>
  <si>
    <t>Herring Roe</t>
  </si>
  <si>
    <t>283:000</t>
  </si>
  <si>
    <t>Holly</t>
  </si>
  <si>
    <t>304:000</t>
  </si>
  <si>
    <t>Hops</t>
  </si>
  <si>
    <t>302:000</t>
  </si>
  <si>
    <t>Hops Starter</t>
  </si>
  <si>
    <t>911:000</t>
  </si>
  <si>
    <t>Horse Flute</t>
  </si>
  <si>
    <t>860:000</t>
  </si>
  <si>
    <t>Hot Java Ring</t>
  </si>
  <si>
    <t>260:000</t>
  </si>
  <si>
    <t>Hot Pepper</t>
  </si>
  <si>
    <t>344:260</t>
  </si>
  <si>
    <t>Hot Pepper Jelly</t>
  </si>
  <si>
    <t>348:260</t>
  </si>
  <si>
    <t>Hot Pepper Wine</t>
  </si>
  <si>
    <t>918:000</t>
  </si>
  <si>
    <t>Hyper Speed-Gro</t>
  </si>
  <si>
    <t>233:000</t>
  </si>
  <si>
    <t>Ice Cream</t>
  </si>
  <si>
    <t>161:000</t>
  </si>
  <si>
    <t>Ice Pip</t>
  </si>
  <si>
    <t>812:161</t>
  </si>
  <si>
    <t>Ice Pip Roe</t>
  </si>
  <si>
    <t>887:000</t>
  </si>
  <si>
    <t>Immunity Band</t>
  </si>
  <si>
    <t>527:000</t>
  </si>
  <si>
    <t>Iridium Band</t>
  </si>
  <si>
    <t>337:000</t>
  </si>
  <si>
    <t>Iridium Bar</t>
  </si>
  <si>
    <t>803:000</t>
  </si>
  <si>
    <t>Iridium Milk</t>
  </si>
  <si>
    <t>386:000</t>
  </si>
  <si>
    <t>Iridium Ore</t>
  </si>
  <si>
    <t>645:000</t>
  </si>
  <si>
    <t>Iridium Sprinkler</t>
  </si>
  <si>
    <t>335:000</t>
  </si>
  <si>
    <t>Iron Bar</t>
  </si>
  <si>
    <t>324:000</t>
  </si>
  <si>
    <t>Iron Fence</t>
  </si>
  <si>
    <t>380:000</t>
  </si>
  <si>
    <t>Iron Ore</t>
  </si>
  <si>
    <t>746:000</t>
  </si>
  <si>
    <t>Jack-O-Lantern</t>
  </si>
  <si>
    <t>070:000</t>
  </si>
  <si>
    <t>Jade</t>
  </si>
  <si>
    <t>532:000</t>
  </si>
  <si>
    <t>Jade Ring</t>
  </si>
  <si>
    <t>549:000</t>
  </si>
  <si>
    <t>Jagoite</t>
  </si>
  <si>
    <t>548:000</t>
  </si>
  <si>
    <t>Jamborite</t>
  </si>
  <si>
    <t>563:000</t>
  </si>
  <si>
    <t>Jasper</t>
  </si>
  <si>
    <t>429:000</t>
  </si>
  <si>
    <t>Jazz Seeds</t>
  </si>
  <si>
    <t>344:000</t>
  </si>
  <si>
    <t>Jelly (Generic)</t>
  </si>
  <si>
    <t>167:000</t>
  </si>
  <si>
    <t>Joja Cola</t>
  </si>
  <si>
    <t>842:000</t>
  </si>
  <si>
    <t>Journal Scrap</t>
  </si>
  <si>
    <t>350:000</t>
  </si>
  <si>
    <t>Juice (Generic)</t>
  </si>
  <si>
    <t>528:000</t>
  </si>
  <si>
    <t>Jukebox Ring</t>
  </si>
  <si>
    <t>250:000</t>
  </si>
  <si>
    <t>Kale</t>
  </si>
  <si>
    <t>350:250</t>
  </si>
  <si>
    <t>Kale Juice</t>
  </si>
  <si>
    <t>477:000</t>
  </si>
  <si>
    <t>Kale Seeds</t>
  </si>
  <si>
    <t>550:000</t>
  </si>
  <si>
    <t>Kyanite</t>
  </si>
  <si>
    <t>438:000</t>
  </si>
  <si>
    <t>L. Goat Milk</t>
  </si>
  <si>
    <t>182:000</t>
  </si>
  <si>
    <t>Large Egg (Brown)</t>
  </si>
  <si>
    <t>174:000</t>
  </si>
  <si>
    <t>Large Egg (White)</t>
  </si>
  <si>
    <t>186:000</t>
  </si>
  <si>
    <t>Large Milk</t>
  </si>
  <si>
    <t>136:000</t>
  </si>
  <si>
    <t>Largemouth Bass</t>
  </si>
  <si>
    <t>812:136</t>
  </si>
  <si>
    <t>Largemouth Bass Roe</t>
  </si>
  <si>
    <t>162:000</t>
  </si>
  <si>
    <t>Lava Eel</t>
  </si>
  <si>
    <t>812:162</t>
  </si>
  <si>
    <t>Lava Eel Roe</t>
  </si>
  <si>
    <t>692:000</t>
  </si>
  <si>
    <t>Lead Bobber</t>
  </si>
  <si>
    <t>020:000</t>
  </si>
  <si>
    <t>Leek</t>
  </si>
  <si>
    <t>163:000</t>
  </si>
  <si>
    <t>Legend</t>
  </si>
  <si>
    <t>900:000</t>
  </si>
  <si>
    <t>Legend II</t>
  </si>
  <si>
    <t>554:000</t>
  </si>
  <si>
    <t>Lemon Stone</t>
  </si>
  <si>
    <t>773:000</t>
  </si>
  <si>
    <t>Life Elixir</t>
  </si>
  <si>
    <t>571:000</t>
  </si>
  <si>
    <t>Limestone</t>
  </si>
  <si>
    <t>707:000</t>
  </si>
  <si>
    <t>Lingcod</t>
  </si>
  <si>
    <t>812:707</t>
  </si>
  <si>
    <t>Lingcod Roe</t>
  </si>
  <si>
    <t>837:000</t>
  </si>
  <si>
    <t>Lionfish</t>
  </si>
  <si>
    <t>812:837</t>
  </si>
  <si>
    <t>Lionfish Roe</t>
  </si>
  <si>
    <t>715:000</t>
  </si>
  <si>
    <t>Lobster</t>
  </si>
  <si>
    <t>730:000</t>
  </si>
  <si>
    <t>Lobster Bisque</t>
  </si>
  <si>
    <t>812:715</t>
  </si>
  <si>
    <t>Lobster Roe</t>
  </si>
  <si>
    <t>788:000</t>
  </si>
  <si>
    <t>Lost Axe</t>
  </si>
  <si>
    <t>102:000</t>
  </si>
  <si>
    <t>Lost Book</t>
  </si>
  <si>
    <t>204:000</t>
  </si>
  <si>
    <t>Lucky Lunch</t>
  </si>
  <si>
    <t>789:000</t>
  </si>
  <si>
    <t>Lucky Purple Shorts</t>
  </si>
  <si>
    <t>859:000</t>
  </si>
  <si>
    <t>Lucky Ring</t>
  </si>
  <si>
    <t>030:000</t>
  </si>
  <si>
    <t>Lumber</t>
  </si>
  <si>
    <t>551:000</t>
  </si>
  <si>
    <t>Lunarite</t>
  </si>
  <si>
    <t>908:000</t>
  </si>
  <si>
    <t>Magic Bait</t>
  </si>
  <si>
    <t>279:000</t>
  </si>
  <si>
    <t>Magic Rock Candy</t>
  </si>
  <si>
    <t>851:000</t>
  </si>
  <si>
    <t>Magma Cap</t>
  </si>
  <si>
    <t>537:000</t>
  </si>
  <si>
    <t>Magma Geode</t>
  </si>
  <si>
    <t>703:000</t>
  </si>
  <si>
    <t>Magnet</t>
  </si>
  <si>
    <t>519:000</t>
  </si>
  <si>
    <t>Magnet Ring</t>
  </si>
  <si>
    <t>292:000</t>
  </si>
  <si>
    <t>Mahogany Seed</t>
  </si>
  <si>
    <t>228:000</t>
  </si>
  <si>
    <t>Maki Roll</t>
  </si>
  <si>
    <t>552:000</t>
  </si>
  <si>
    <t>Malachite</t>
  </si>
  <si>
    <t>834:000</t>
  </si>
  <si>
    <t>Mango</t>
  </si>
  <si>
    <t>344:834</t>
  </si>
  <si>
    <t>Mango Jelly</t>
  </si>
  <si>
    <t>835:000</t>
  </si>
  <si>
    <t>Mango Sapling</t>
  </si>
  <si>
    <t>905:000</t>
  </si>
  <si>
    <t>Mango Sticky Rice</t>
  </si>
  <si>
    <t>348:834</t>
  </si>
  <si>
    <t>Mango Wine</t>
  </si>
  <si>
    <t>731:000</t>
  </si>
  <si>
    <t>Maple Bar</t>
  </si>
  <si>
    <t>310:000</t>
  </si>
  <si>
    <t>Maple Seed</t>
  </si>
  <si>
    <t>724:000</t>
  </si>
  <si>
    <t>Maple Syrup</t>
  </si>
  <si>
    <t>567:000</t>
  </si>
  <si>
    <t>Marble</t>
  </si>
  <si>
    <t>306:000</t>
  </si>
  <si>
    <t>Mayonnaise</t>
  </si>
  <si>
    <t>459:000</t>
  </si>
  <si>
    <t>Mead</t>
  </si>
  <si>
    <t>288:000</t>
  </si>
  <si>
    <t>Mega Bomb</t>
  </si>
  <si>
    <t>254:000</t>
  </si>
  <si>
    <t>Melon</t>
  </si>
  <si>
    <t>344:254</t>
  </si>
  <si>
    <t>Melon Jelly</t>
  </si>
  <si>
    <t>479:000</t>
  </si>
  <si>
    <t>Melon Seeds</t>
  </si>
  <si>
    <t>348:254</t>
  </si>
  <si>
    <t>Melon Wine</t>
  </si>
  <si>
    <t>460:000</t>
  </si>
  <si>
    <t>Mermaid's Pendant</t>
  </si>
  <si>
    <t>269:000</t>
  </si>
  <si>
    <t>Midnight Carp</t>
  </si>
  <si>
    <t>812:269</t>
  </si>
  <si>
    <t>Midnight Carp Roe</t>
  </si>
  <si>
    <t>798:000</t>
  </si>
  <si>
    <t>Midnight Squid</t>
  </si>
  <si>
    <t>812:798</t>
  </si>
  <si>
    <t>Midnight Squid Roe</t>
  </si>
  <si>
    <t>184:000</t>
  </si>
  <si>
    <t>Milk</t>
  </si>
  <si>
    <t>243:000</t>
  </si>
  <si>
    <t>Miner's Treat</t>
  </si>
  <si>
    <t>770:000</t>
  </si>
  <si>
    <t>Mixed Seeds</t>
  </si>
  <si>
    <t>879:000</t>
  </si>
  <si>
    <t>Monster Musk</t>
  </si>
  <si>
    <t>257:000</t>
  </si>
  <si>
    <t>Morel</t>
  </si>
  <si>
    <t>809:000</t>
  </si>
  <si>
    <t>Movie Ticket</t>
  </si>
  <si>
    <t>899:000</t>
  </si>
  <si>
    <t>Ms. Angler</t>
  </si>
  <si>
    <t>574:000</t>
  </si>
  <si>
    <t>Mudstone</t>
  </si>
  <si>
    <t>827:000</t>
  </si>
  <si>
    <t>Mummified Bat</t>
  </si>
  <si>
    <t>828:000</t>
  </si>
  <si>
    <t>Mummified Frog</t>
  </si>
  <si>
    <t>351:000</t>
  </si>
  <si>
    <t>Muscle Remedy</t>
  </si>
  <si>
    <t>891:000</t>
  </si>
  <si>
    <t>Mushroom Tree Seed</t>
  </si>
  <si>
    <t>719:000</t>
  </si>
  <si>
    <t>Mussel</t>
  </si>
  <si>
    <t>812:719</t>
  </si>
  <si>
    <t>Mussel Roe</t>
  </si>
  <si>
    <t>682:000</t>
  </si>
  <si>
    <t>Mutant Carp</t>
  </si>
  <si>
    <t>811:000</t>
  </si>
  <si>
    <t>Napalm Ring</t>
  </si>
  <si>
    <t>586:000</t>
  </si>
  <si>
    <t>Nautilus Fossil</t>
  </si>
  <si>
    <t>392:000</t>
  </si>
  <si>
    <t>Nautilus Shell</t>
  </si>
  <si>
    <t>555:000</t>
  </si>
  <si>
    <t>Nekoite</t>
  </si>
  <si>
    <t>553:000</t>
  </si>
  <si>
    <t>Neptunite</t>
  </si>
  <si>
    <t>725:000</t>
  </si>
  <si>
    <t>Oak Resin</t>
  </si>
  <si>
    <t>575:000</t>
  </si>
  <si>
    <t>Obsidian</t>
  </si>
  <si>
    <t>560:000</t>
  </si>
  <si>
    <t>Ocean Stone</t>
  </si>
  <si>
    <t>149:000</t>
  </si>
  <si>
    <t>Octopus</t>
  </si>
  <si>
    <t>812:149</t>
  </si>
  <si>
    <t>Octopus Roe</t>
  </si>
  <si>
    <t>247:000</t>
  </si>
  <si>
    <t>Oil</t>
  </si>
  <si>
    <t>772:000</t>
  </si>
  <si>
    <t>Oil of Garlic</t>
  </si>
  <si>
    <t>195:000</t>
  </si>
  <si>
    <t>Omelet</t>
  </si>
  <si>
    <t>749:000</t>
  </si>
  <si>
    <t>Omni Geode</t>
  </si>
  <si>
    <t>564:000</t>
  </si>
  <si>
    <t>Opal</t>
  </si>
  <si>
    <t>635:000</t>
  </si>
  <si>
    <t>Orange</t>
  </si>
  <si>
    <t>344:635</t>
  </si>
  <si>
    <t>Orange Jelly</t>
  </si>
  <si>
    <t>630:000</t>
  </si>
  <si>
    <t>Orange Sapling</t>
  </si>
  <si>
    <t>348:635</t>
  </si>
  <si>
    <t>Orange Wine</t>
  </si>
  <si>
    <t>106:000</t>
  </si>
  <si>
    <t>Ornamental Fan</t>
  </si>
  <si>
    <t>191:000</t>
  </si>
  <si>
    <t>Ornate Necklace</t>
  </si>
  <si>
    <t>556:000</t>
  </si>
  <si>
    <t>Orpiment</t>
  </si>
  <si>
    <t>289:000</t>
  </si>
  <si>
    <t>Ostrich Egg</t>
  </si>
  <si>
    <t>723:000</t>
  </si>
  <si>
    <t>Oyster</t>
  </si>
  <si>
    <t>812:723</t>
  </si>
  <si>
    <t>Oyster Roe</t>
  </si>
  <si>
    <t>303:000</t>
  </si>
  <si>
    <t>Pale Ale</t>
  </si>
  <si>
    <t>457:000</t>
  </si>
  <si>
    <t>Pale Broth</t>
  </si>
  <si>
    <t>588:000</t>
  </si>
  <si>
    <t>Palm Fossil</t>
  </si>
  <si>
    <t>211:000</t>
  </si>
  <si>
    <t>Pancakes</t>
  </si>
  <si>
    <t>024:000</t>
  </si>
  <si>
    <t>Parsnip</t>
  </si>
  <si>
    <t>350:024</t>
  </si>
  <si>
    <t>Parsnip Juice</t>
  </si>
  <si>
    <t>472:000</t>
  </si>
  <si>
    <t>Parsnip Seeds</t>
  </si>
  <si>
    <t>199:000</t>
  </si>
  <si>
    <t>Parsnip Soup</t>
  </si>
  <si>
    <t>636:000</t>
  </si>
  <si>
    <t>Peach</t>
  </si>
  <si>
    <t>344:636</t>
  </si>
  <si>
    <t>Peach Jelly</t>
  </si>
  <si>
    <t>631:000</t>
  </si>
  <si>
    <t>Peach Sapling</t>
  </si>
  <si>
    <t>348:636</t>
  </si>
  <si>
    <t>Peach Wine</t>
  </si>
  <si>
    <t>797:000</t>
  </si>
  <si>
    <t>Pearl</t>
  </si>
  <si>
    <t>215:000</t>
  </si>
  <si>
    <t>Pepper Poppers</t>
  </si>
  <si>
    <t>482:000</t>
  </si>
  <si>
    <t>Pepper Seeds</t>
  </si>
  <si>
    <t>141:000</t>
  </si>
  <si>
    <t>Perch</t>
  </si>
  <si>
    <t>812:141</t>
  </si>
  <si>
    <t>Perch Roe</t>
  </si>
  <si>
    <t>722:000</t>
  </si>
  <si>
    <t>Periwinkle</t>
  </si>
  <si>
    <t>812:722</t>
  </si>
  <si>
    <t>Periwinkle Roe</t>
  </si>
  <si>
    <t>557:000</t>
  </si>
  <si>
    <t>Petrified Slime</t>
  </si>
  <si>
    <t>863:000</t>
  </si>
  <si>
    <t>Phoenix Ring</t>
  </si>
  <si>
    <t>342:300</t>
  </si>
  <si>
    <t>Pickled Amaranth</t>
  </si>
  <si>
    <t>342:274</t>
  </si>
  <si>
    <t>Pickled Artichoke</t>
  </si>
  <si>
    <t>342:284</t>
  </si>
  <si>
    <t>Pickled Beet</t>
  </si>
  <si>
    <t>342:278</t>
  </si>
  <si>
    <t>Pickled Bok Choy</t>
  </si>
  <si>
    <t>342:190</t>
  </si>
  <si>
    <t>Pickled Cauliflower</t>
  </si>
  <si>
    <t>342:270</t>
  </si>
  <si>
    <t>Pickled Corn</t>
  </si>
  <si>
    <t>342:272</t>
  </si>
  <si>
    <t>Pickled Eggplant</t>
  </si>
  <si>
    <t>342:259</t>
  </si>
  <si>
    <t>Pickled Fiddlehead Fern</t>
  </si>
  <si>
    <t>342:248</t>
  </si>
  <si>
    <t>Pickled Garlic</t>
  </si>
  <si>
    <t>342:188</t>
  </si>
  <si>
    <t>Pickled Green Bean</t>
  </si>
  <si>
    <t>342:250</t>
  </si>
  <si>
    <t>Pickled Kale</t>
  </si>
  <si>
    <t>342:024</t>
  </si>
  <si>
    <t>Pickled Parsnip</t>
  </si>
  <si>
    <t>342:192</t>
  </si>
  <si>
    <t>Pickled Potato</t>
  </si>
  <si>
    <t>342:276</t>
  </si>
  <si>
    <t>Pickled Pumpkin</t>
  </si>
  <si>
    <t>342:264</t>
  </si>
  <si>
    <t>Pickled Radish</t>
  </si>
  <si>
    <t>342:266</t>
  </si>
  <si>
    <t>Pickled Red Cabbage</t>
  </si>
  <si>
    <t>342:830</t>
  </si>
  <si>
    <t>Pickled Taro Root</t>
  </si>
  <si>
    <t>342:256</t>
  </si>
  <si>
    <t>Pickled Tomato</t>
  </si>
  <si>
    <t>342:271</t>
  </si>
  <si>
    <t>Pickled Unmilled Rice</t>
  </si>
  <si>
    <t>342:280</t>
  </si>
  <si>
    <t>Pickled Yam</t>
  </si>
  <si>
    <t>342:000</t>
  </si>
  <si>
    <t>Pickles (Generic)</t>
  </si>
  <si>
    <t>897:000</t>
  </si>
  <si>
    <t>Pierre's Missing Stocklist</t>
  </si>
  <si>
    <t>144:000</t>
  </si>
  <si>
    <t>Pike</t>
  </si>
  <si>
    <t>812:144</t>
  </si>
  <si>
    <t>Pike Roe</t>
  </si>
  <si>
    <t>311:000</t>
  </si>
  <si>
    <t>Pine Cone</t>
  </si>
  <si>
    <t>726:000</t>
  </si>
  <si>
    <t>Pine Tar</t>
  </si>
  <si>
    <t>832:000</t>
  </si>
  <si>
    <t>Pineapple</t>
  </si>
  <si>
    <t>344:832</t>
  </si>
  <si>
    <t>Pineapple Jelly</t>
  </si>
  <si>
    <t>833:000</t>
  </si>
  <si>
    <t>Pineapple Seeds</t>
  </si>
  <si>
    <t>348:832</t>
  </si>
  <si>
    <t>Pineapple Wine</t>
  </si>
  <si>
    <t>221:000</t>
  </si>
  <si>
    <t>Pink Cake</t>
  </si>
  <si>
    <t>870:000</t>
  </si>
  <si>
    <t>Pirate's Locket</t>
  </si>
  <si>
    <t>206:000</t>
  </si>
  <si>
    <t>Pizza</t>
  </si>
  <si>
    <t>873:000</t>
  </si>
  <si>
    <t>Piña Colada</t>
  </si>
  <si>
    <t>604:000</t>
  </si>
  <si>
    <t>Plum Pudding</t>
  </si>
  <si>
    <t>906:000</t>
  </si>
  <si>
    <t>Poi</t>
  </si>
  <si>
    <t>637:000</t>
  </si>
  <si>
    <t>Pomegranate</t>
  </si>
  <si>
    <t>344:637</t>
  </si>
  <si>
    <t>Pomegranate Jelly</t>
  </si>
  <si>
    <t>632:000</t>
  </si>
  <si>
    <t>Pomegranate Sapling</t>
  </si>
  <si>
    <t>348:637</t>
  </si>
  <si>
    <t>Pomegranate Wine</t>
  </si>
  <si>
    <t>376:000</t>
  </si>
  <si>
    <t>Poppy</t>
  </si>
  <si>
    <t>340:376</t>
  </si>
  <si>
    <t>Poppy Honey</t>
  </si>
  <si>
    <t>453:000</t>
  </si>
  <si>
    <t>Poppy Seeds</t>
  </si>
  <si>
    <t>651:000</t>
  </si>
  <si>
    <t>Poppyseed Muffin</t>
  </si>
  <si>
    <t>192:000</t>
  </si>
  <si>
    <t>Potato</t>
  </si>
  <si>
    <t>350:192</t>
  </si>
  <si>
    <t>Potato Juice</t>
  </si>
  <si>
    <t>475:000</t>
  </si>
  <si>
    <t>Potato Seeds</t>
  </si>
  <si>
    <t>120:000</t>
  </si>
  <si>
    <t>Prehistoric Handaxe</t>
  </si>
  <si>
    <t>583:000</t>
  </si>
  <si>
    <t>Prehistoric Rib</t>
  </si>
  <si>
    <t>579:000</t>
  </si>
  <si>
    <t>Prehistoric Scapula</t>
  </si>
  <si>
    <t>581:000</t>
  </si>
  <si>
    <t>Prehistoric Skull</t>
  </si>
  <si>
    <t>580:000</t>
  </si>
  <si>
    <t>Prehistoric Tibia</t>
  </si>
  <si>
    <t>115:000</t>
  </si>
  <si>
    <t>Prehistoric Tool</t>
  </si>
  <si>
    <t>584:000</t>
  </si>
  <si>
    <t>Prehistoric Vertebra</t>
  </si>
  <si>
    <t>915:000</t>
  </si>
  <si>
    <t>Pressure Nozzle</t>
  </si>
  <si>
    <t>876:000</t>
  </si>
  <si>
    <t>Prismatic Jelly</t>
  </si>
  <si>
    <t>074:000</t>
  </si>
  <si>
    <t>Prismatic Shard</t>
  </si>
  <si>
    <t>861:000</t>
  </si>
  <si>
    <t>Protection Ring</t>
  </si>
  <si>
    <t>128:000</t>
  </si>
  <si>
    <t>Pufferfish</t>
  </si>
  <si>
    <t>812:128</t>
  </si>
  <si>
    <t>Pufferfish Roe</t>
  </si>
  <si>
    <t>276:000</t>
  </si>
  <si>
    <t>Pumpkin</t>
  </si>
  <si>
    <t>350:276</t>
  </si>
  <si>
    <t>Pumpkin Juice</t>
  </si>
  <si>
    <t>608:000</t>
  </si>
  <si>
    <t>Pumpkin Pie</t>
  </si>
  <si>
    <t>490:000</t>
  </si>
  <si>
    <t>Pumpkin Seeds</t>
  </si>
  <si>
    <t>236:000</t>
  </si>
  <si>
    <t>Pumpkin Soup</t>
  </si>
  <si>
    <t>422:000</t>
  </si>
  <si>
    <t>Purple Mushroom</t>
  </si>
  <si>
    <t>439:000</t>
  </si>
  <si>
    <t>Purple Slime Egg</t>
  </si>
  <si>
    <t>559:000</t>
  </si>
  <si>
    <t>Pyrite</t>
  </si>
  <si>
    <t>890:000</t>
  </si>
  <si>
    <t>Qi Bean</t>
  </si>
  <si>
    <t>889:000</t>
  </si>
  <si>
    <t>Qi Fruit</t>
  </si>
  <si>
    <t>344:889</t>
  </si>
  <si>
    <t>Qi Fruit Jelly</t>
  </si>
  <si>
    <t>348:889</t>
  </si>
  <si>
    <t>Qi Fruit Wine</t>
  </si>
  <si>
    <t>858:000</t>
  </si>
  <si>
    <t>Qi Gem</t>
  </si>
  <si>
    <t>917:000</t>
  </si>
  <si>
    <t>Qi Seasoning</t>
  </si>
  <si>
    <t>877:000</t>
  </si>
  <si>
    <t>Quality Bobber</t>
  </si>
  <si>
    <t>369:000</t>
  </si>
  <si>
    <t>Quality Fertilizer</t>
  </si>
  <si>
    <t>371:000</t>
  </si>
  <si>
    <t>Quality Retaining Soil</t>
  </si>
  <si>
    <t>621:000</t>
  </si>
  <si>
    <t>Quality Sprinkler</t>
  </si>
  <si>
    <t>080:000</t>
  </si>
  <si>
    <t>Quartz</t>
  </si>
  <si>
    <t>446:000</t>
  </si>
  <si>
    <t>Rabbit's Foot</t>
  </si>
  <si>
    <t>910:000</t>
  </si>
  <si>
    <t>Radioactive Bar</t>
  </si>
  <si>
    <t>901:000</t>
  </si>
  <si>
    <t>Radioactive Carp</t>
  </si>
  <si>
    <t>909:000</t>
  </si>
  <si>
    <t>Radioactive Ore</t>
  </si>
  <si>
    <t>264:000</t>
  </si>
  <si>
    <t>Radish</t>
  </si>
  <si>
    <t>350:264</t>
  </si>
  <si>
    <t>Radish Juice</t>
  </si>
  <si>
    <t>609:000</t>
  </si>
  <si>
    <t>Radish Salad</t>
  </si>
  <si>
    <t>484:000</t>
  </si>
  <si>
    <t>Radish Seeds</t>
  </si>
  <si>
    <t>681:000</t>
  </si>
  <si>
    <t>Rain Totem</t>
  </si>
  <si>
    <t>394:000</t>
  </si>
  <si>
    <t>Rainbow Shell</t>
  </si>
  <si>
    <t>138:000</t>
  </si>
  <si>
    <t>Rainbow Trout</t>
  </si>
  <si>
    <t>812:138</t>
  </si>
  <si>
    <t>Rainbow Trout Roe</t>
  </si>
  <si>
    <t>108:000</t>
  </si>
  <si>
    <t>Rare Disc</t>
  </si>
  <si>
    <t>347:000</t>
  </si>
  <si>
    <t>Rare Seed</t>
  </si>
  <si>
    <t>266:000</t>
  </si>
  <si>
    <t>Red Cabbage</t>
  </si>
  <si>
    <t>350:266</t>
  </si>
  <si>
    <t>Red Cabbage Juice</t>
  </si>
  <si>
    <t>485:000</t>
  </si>
  <si>
    <t>Red Cabbage Seeds</t>
  </si>
  <si>
    <t>146:000</t>
  </si>
  <si>
    <t>Red Mullet</t>
  </si>
  <si>
    <t>812:146</t>
  </si>
  <si>
    <t>Red Mullet Roe</t>
  </si>
  <si>
    <t>420:000</t>
  </si>
  <si>
    <t>Red Mushroom</t>
  </si>
  <si>
    <t>230:000</t>
  </si>
  <si>
    <t>Red Plate</t>
  </si>
  <si>
    <t>437:000</t>
  </si>
  <si>
    <t>Red Slime Egg</t>
  </si>
  <si>
    <t>150:000</t>
  </si>
  <si>
    <t>Red Snapper</t>
  </si>
  <si>
    <t>812:150</t>
  </si>
  <si>
    <t>Red Snapper Roe</t>
  </si>
  <si>
    <t>338:000</t>
  </si>
  <si>
    <t>Refined Quartz</t>
  </si>
  <si>
    <t>252:000</t>
  </si>
  <si>
    <t>Rhubarb</t>
  </si>
  <si>
    <t>344:252</t>
  </si>
  <si>
    <t>Rhubarb Jelly</t>
  </si>
  <si>
    <t>222:000</t>
  </si>
  <si>
    <t>Rhubarb Pie</t>
  </si>
  <si>
    <t>478:000</t>
  </si>
  <si>
    <t>Rhubarb Seeds</t>
  </si>
  <si>
    <t>348:252</t>
  </si>
  <si>
    <t>Rhubarb Wine</t>
  </si>
  <si>
    <t>423:000</t>
  </si>
  <si>
    <t>Rice</t>
  </si>
  <si>
    <t>232:000</t>
  </si>
  <si>
    <t>Rice Pudding</t>
  </si>
  <si>
    <t>273:000</t>
  </si>
  <si>
    <t>Rice Shoot</t>
  </si>
  <si>
    <t>524:000</t>
  </si>
  <si>
    <t>Ring of Yoba</t>
  </si>
  <si>
    <t>607:000</t>
  </si>
  <si>
    <t>Roasted Hazelnuts</t>
  </si>
  <si>
    <t>812:000</t>
  </si>
  <si>
    <t>Roe (Generic)</t>
  </si>
  <si>
    <t>244:000</t>
  </si>
  <si>
    <t>Roots Platter</t>
  </si>
  <si>
    <t>747:000</t>
  </si>
  <si>
    <t>Rotten Plant</t>
  </si>
  <si>
    <t>064:000</t>
  </si>
  <si>
    <t>Ruby</t>
  </si>
  <si>
    <t>534:000</t>
  </si>
  <si>
    <t>Ruby Ring</t>
  </si>
  <si>
    <t>840:000</t>
  </si>
  <si>
    <t>Rustic Plank Floor</t>
  </si>
  <si>
    <t>112:000</t>
  </si>
  <si>
    <t>Rusty Cog</t>
  </si>
  <si>
    <t>110:000</t>
  </si>
  <si>
    <t>Rusty Spoon</t>
  </si>
  <si>
    <t>111:000</t>
  </si>
  <si>
    <t>Rusty Spur</t>
  </si>
  <si>
    <t>196:000</t>
  </si>
  <si>
    <t>Salad</t>
  </si>
  <si>
    <t>139:000</t>
  </si>
  <si>
    <t>Salmon</t>
  </si>
  <si>
    <t>212:000</t>
  </si>
  <si>
    <t>Salmon Dinner</t>
  </si>
  <si>
    <t>812:139</t>
  </si>
  <si>
    <t>Salmon Roe</t>
  </si>
  <si>
    <t>296:000</t>
  </si>
  <si>
    <t>Salmonberry</t>
  </si>
  <si>
    <t>344:296</t>
  </si>
  <si>
    <t>Salmonberry Jelly</t>
  </si>
  <si>
    <t>348:296</t>
  </si>
  <si>
    <t>Salmonberry Wine</t>
  </si>
  <si>
    <t>164:000</t>
  </si>
  <si>
    <t>Sandfish</t>
  </si>
  <si>
    <t>812:164</t>
  </si>
  <si>
    <t>Sandfish Roe</t>
  </si>
  <si>
    <t>568:000</t>
  </si>
  <si>
    <t>Sandstone</t>
  </si>
  <si>
    <t>092:000</t>
  </si>
  <si>
    <t>Sap</t>
  </si>
  <si>
    <t>131:000</t>
  </si>
  <si>
    <t>Sardine</t>
  </si>
  <si>
    <t>812:131</t>
  </si>
  <si>
    <t>Sardine Roe</t>
  </si>
  <si>
    <t>227:000</t>
  </si>
  <si>
    <t>Sashimi</t>
  </si>
  <si>
    <t>523:000</t>
  </si>
  <si>
    <t>Savage Ring</t>
  </si>
  <si>
    <t>165:000</t>
  </si>
  <si>
    <t>Scorpion Carp</t>
  </si>
  <si>
    <t>812:165</t>
  </si>
  <si>
    <t>Scorpion Carp Roe</t>
  </si>
  <si>
    <t>154:000</t>
  </si>
  <si>
    <t>Sea Cucumber</t>
  </si>
  <si>
    <t>812:154</t>
  </si>
  <si>
    <t>Sea Cucumber Roe</t>
  </si>
  <si>
    <t>397:000</t>
  </si>
  <si>
    <t>Sea Urchin</t>
  </si>
  <si>
    <t>265:000</t>
  </si>
  <si>
    <t>Seafoam Pudding</t>
  </si>
  <si>
    <t>152:000</t>
  </si>
  <si>
    <t>Seaweed</t>
  </si>
  <si>
    <t>079:000</t>
  </si>
  <si>
    <t>Secret Note</t>
  </si>
  <si>
    <t>706:000</t>
  </si>
  <si>
    <t>Shad</t>
  </si>
  <si>
    <t>812:706</t>
  </si>
  <si>
    <t>Shad Roe</t>
  </si>
  <si>
    <t>720:000</t>
  </si>
  <si>
    <t>Shrimp</t>
  </si>
  <si>
    <t>733:000</t>
  </si>
  <si>
    <t>Shrimp Cocktail</t>
  </si>
  <si>
    <t>812:720</t>
  </si>
  <si>
    <t>Shrimp Roe</t>
  </si>
  <si>
    <t>582:000</t>
  </si>
  <si>
    <t>Skeletal Hand</t>
  </si>
  <si>
    <t>585:000</t>
  </si>
  <si>
    <t>Skeletal Tail</t>
  </si>
  <si>
    <t>576:000</t>
  </si>
  <si>
    <t>Slate</t>
  </si>
  <si>
    <t>766:000</t>
  </si>
  <si>
    <t>Slime</t>
  </si>
  <si>
    <t>520:000</t>
  </si>
  <si>
    <t>Slime Charmer Ring</t>
  </si>
  <si>
    <t>925:000</t>
  </si>
  <si>
    <t>Slime Crate</t>
  </si>
  <si>
    <t>796:000</t>
  </si>
  <si>
    <t>Slimejack</t>
  </si>
  <si>
    <t>812:796</t>
  </si>
  <si>
    <t>Slimejack Roe</t>
  </si>
  <si>
    <t>516:000</t>
  </si>
  <si>
    <t>Small Glow Ring</t>
  </si>
  <si>
    <t>518:000</t>
  </si>
  <si>
    <t>Small Magnet Ring</t>
  </si>
  <si>
    <t>137:000</t>
  </si>
  <si>
    <t>Smallmouth Bass</t>
  </si>
  <si>
    <t>812:137</t>
  </si>
  <si>
    <t>Smallmouth Bass Roe</t>
  </si>
  <si>
    <t>721:000</t>
  </si>
  <si>
    <t>Snail</t>
  </si>
  <si>
    <t>812:721</t>
  </si>
  <si>
    <t>Snail Roe</t>
  </si>
  <si>
    <t>825:000</t>
  </si>
  <si>
    <t>Snake Skull</t>
  </si>
  <si>
    <t>826:000</t>
  </si>
  <si>
    <t>Snake Vertebrae</t>
  </si>
  <si>
    <t>416:000</t>
  </si>
  <si>
    <t>Snow Yam</t>
  </si>
  <si>
    <t>572:000</t>
  </si>
  <si>
    <t>Soapstone</t>
  </si>
  <si>
    <t>172:000</t>
  </si>
  <si>
    <t>Soggy Newspaper</t>
  </si>
  <si>
    <t>768:000</t>
  </si>
  <si>
    <t>Solar Essence</t>
  </si>
  <si>
    <t>898:000</t>
  </si>
  <si>
    <t>Son of Crimsonfish</t>
  </si>
  <si>
    <t>862:000</t>
  </si>
  <si>
    <t>Soul Sapper Ring</t>
  </si>
  <si>
    <t>224:000</t>
  </si>
  <si>
    <t>Spaghetti</t>
  </si>
  <si>
    <t>455:000</t>
  </si>
  <si>
    <t>Spangle Seeds</t>
  </si>
  <si>
    <t>465:000</t>
  </si>
  <si>
    <t>Speed-Gro</t>
  </si>
  <si>
    <t>396:000</t>
  </si>
  <si>
    <t>Spice Berry</t>
  </si>
  <si>
    <t>344:396</t>
  </si>
  <si>
    <t>Spice Berry Jelly</t>
  </si>
  <si>
    <t>348:396</t>
  </si>
  <si>
    <t>Spice Berry Wine</t>
  </si>
  <si>
    <t>226:000</t>
  </si>
  <si>
    <t>Spicy Eel</t>
  </si>
  <si>
    <t>686:000</t>
  </si>
  <si>
    <t>Spinner</t>
  </si>
  <si>
    <t>094:000</t>
  </si>
  <si>
    <t>Spirit Torch</t>
  </si>
  <si>
    <t>799:000</t>
  </si>
  <si>
    <t>Spook Fish</t>
  </si>
  <si>
    <t>812:799</t>
  </si>
  <si>
    <t>Spook Fish Roe</t>
  </si>
  <si>
    <t>399:000</t>
  </si>
  <si>
    <t>Spring Onion</t>
  </si>
  <si>
    <t>495:000</t>
  </si>
  <si>
    <t>Spring Seeds</t>
  </si>
  <si>
    <t>599:000</t>
  </si>
  <si>
    <t>Sprinkler</t>
  </si>
  <si>
    <t>151:000</t>
  </si>
  <si>
    <t>Squid</t>
  </si>
  <si>
    <t>814:000</t>
  </si>
  <si>
    <t>Squid Ink</t>
  </si>
  <si>
    <t>921:000</t>
  </si>
  <si>
    <t>Squid Ink Ravioli</t>
  </si>
  <si>
    <t>812:151</t>
  </si>
  <si>
    <t>Squid Roe</t>
  </si>
  <si>
    <t>578:000</t>
  </si>
  <si>
    <t>Star Shards</t>
  </si>
  <si>
    <t>866:000</t>
  </si>
  <si>
    <t>Stardew Valley Rose</t>
  </si>
  <si>
    <t>434:000</t>
  </si>
  <si>
    <t>Stardrop</t>
  </si>
  <si>
    <t>268:000</t>
  </si>
  <si>
    <t>Starfruit</t>
  </si>
  <si>
    <t>344:268</t>
  </si>
  <si>
    <t>Starfruit Jelly</t>
  </si>
  <si>
    <t>486:000</t>
  </si>
  <si>
    <t>Starfruit Seeds</t>
  </si>
  <si>
    <t>348:268</t>
  </si>
  <si>
    <t>Starfruit Wine</t>
  </si>
  <si>
    <t>415:000</t>
  </si>
  <si>
    <t>Stepping Stone Path</t>
  </si>
  <si>
    <t>836:000</t>
  </si>
  <si>
    <t>Stingray</t>
  </si>
  <si>
    <t>812:836</t>
  </si>
  <si>
    <t>Stingray Roe</t>
  </si>
  <si>
    <t>606:000</t>
  </si>
  <si>
    <t>Stir Fry</t>
  </si>
  <si>
    <t>002:000</t>
  </si>
  <si>
    <t>Stone</t>
  </si>
  <si>
    <t>449:000</t>
  </si>
  <si>
    <t>Stone Base</t>
  </si>
  <si>
    <t>323:000</t>
  </si>
  <si>
    <t>Stone Fence</t>
  </si>
  <si>
    <t>329:000</t>
  </si>
  <si>
    <t>Stone Floor</t>
  </si>
  <si>
    <t>841:000</t>
  </si>
  <si>
    <t>Stone Walkway Floor</t>
  </si>
  <si>
    <t>158:000</t>
  </si>
  <si>
    <t>Stonefish</t>
  </si>
  <si>
    <t>812:158</t>
  </si>
  <si>
    <t>Stonefish Roe</t>
  </si>
  <si>
    <t>203:000</t>
  </si>
  <si>
    <t>Strange Bun</t>
  </si>
  <si>
    <t>126:000</t>
  </si>
  <si>
    <t>Strange Doll (Green)</t>
  </si>
  <si>
    <t>127:000</t>
  </si>
  <si>
    <t>Strange Doll (Yellow)</t>
  </si>
  <si>
    <t>401:000</t>
  </si>
  <si>
    <t>Straw Floor</t>
  </si>
  <si>
    <t>400:000</t>
  </si>
  <si>
    <t>Strawberry</t>
  </si>
  <si>
    <t>344:400</t>
  </si>
  <si>
    <t>Strawberry Jelly</t>
  </si>
  <si>
    <t>745:000</t>
  </si>
  <si>
    <t>Strawberry Seeds</t>
  </si>
  <si>
    <t>348:400</t>
  </si>
  <si>
    <t>Strawberry Wine</t>
  </si>
  <si>
    <t>239:000</t>
  </si>
  <si>
    <t>Stuffing</t>
  </si>
  <si>
    <t>525:000</t>
  </si>
  <si>
    <t>Sturdy Ring</t>
  </si>
  <si>
    <t>698:000</t>
  </si>
  <si>
    <t>Sturgeon</t>
  </si>
  <si>
    <t>812:698</t>
  </si>
  <si>
    <t>Sturgeon Roe</t>
  </si>
  <si>
    <t>245:000</t>
  </si>
  <si>
    <t>Sugar</t>
  </si>
  <si>
    <t>496:000</t>
  </si>
  <si>
    <t>Summer Seeds</t>
  </si>
  <si>
    <t>593:000</t>
  </si>
  <si>
    <t>Summer Spangle</t>
  </si>
  <si>
    <t>340:593</t>
  </si>
  <si>
    <t>Summer Spangle Honey</t>
  </si>
  <si>
    <t>145:000</t>
  </si>
  <si>
    <t>Sunfish</t>
  </si>
  <si>
    <t>812:145</t>
  </si>
  <si>
    <t>Sunfish Roe</t>
  </si>
  <si>
    <t>421:000</t>
  </si>
  <si>
    <t>Sunflower</t>
  </si>
  <si>
    <t>340:421</t>
  </si>
  <si>
    <t>Sunflower Honey</t>
  </si>
  <si>
    <t>431:000</t>
  </si>
  <si>
    <t>Sunflower Seeds</t>
  </si>
  <si>
    <t>155:000</t>
  </si>
  <si>
    <t>Super Cucumber</t>
  </si>
  <si>
    <t>812:155</t>
  </si>
  <si>
    <t>Super Cucumber Roe</t>
  </si>
  <si>
    <t>237:000</t>
  </si>
  <si>
    <t>Super Meal</t>
  </si>
  <si>
    <t>922:000</t>
  </si>
  <si>
    <t>SupplyCrate</t>
  </si>
  <si>
    <t>241:000</t>
  </si>
  <si>
    <t>Survival Burger</t>
  </si>
  <si>
    <t>417:000</t>
  </si>
  <si>
    <t>Sweet Gem Berry</t>
  </si>
  <si>
    <t>402:000</t>
  </si>
  <si>
    <t>Sweet Pea</t>
  </si>
  <si>
    <t>340:402</t>
  </si>
  <si>
    <t>Sweet Pea Honey</t>
  </si>
  <si>
    <t>830:000</t>
  </si>
  <si>
    <t>Taro Root</t>
  </si>
  <si>
    <t>350:830</t>
  </si>
  <si>
    <t>Taro Root Juice</t>
  </si>
  <si>
    <t>831:000</t>
  </si>
  <si>
    <t>Taro Tuber</t>
  </si>
  <si>
    <t>815:000</t>
  </si>
  <si>
    <t>Tea Leaves</t>
  </si>
  <si>
    <t>251:000</t>
  </si>
  <si>
    <t>Tea Sapling</t>
  </si>
  <si>
    <t>341:000</t>
  </si>
  <si>
    <t>Tea Set</t>
  </si>
  <si>
    <t>839:000</t>
  </si>
  <si>
    <t>Thorns Ring</t>
  </si>
  <si>
    <t>558:000</t>
  </si>
  <si>
    <t>Thunder Egg</t>
  </si>
  <si>
    <t>857:000</t>
  </si>
  <si>
    <t>Tiger Slime Egg</t>
  </si>
  <si>
    <t>699:000</t>
  </si>
  <si>
    <t>Tiger Trout</t>
  </si>
  <si>
    <t>812:699</t>
  </si>
  <si>
    <t>Tiger Trout Roe</t>
  </si>
  <si>
    <t>562:000</t>
  </si>
  <si>
    <t>Tigerseye</t>
  </si>
  <si>
    <t>701:000</t>
  </si>
  <si>
    <t>Tilapia</t>
  </si>
  <si>
    <t>812:701</t>
  </si>
  <si>
    <t>Tilapia Roe</t>
  </si>
  <si>
    <t>218:000</t>
  </si>
  <si>
    <t>Tom Kha Soup</t>
  </si>
  <si>
    <t>256:000</t>
  </si>
  <si>
    <t>Tomato</t>
  </si>
  <si>
    <t>350:256</t>
  </si>
  <si>
    <t>Tomato Juice</t>
  </si>
  <si>
    <t>480:000</t>
  </si>
  <si>
    <t>Tomato Seeds</t>
  </si>
  <si>
    <t>068:000</t>
  </si>
  <si>
    <t>Topaz</t>
  </si>
  <si>
    <t>530:000</t>
  </si>
  <si>
    <t>Topaz Ring</t>
  </si>
  <si>
    <t>093:000</t>
  </si>
  <si>
    <t>Torch</t>
  </si>
  <si>
    <t>229:000</t>
  </si>
  <si>
    <t>Tortilla</t>
  </si>
  <si>
    <t>694:000</t>
  </si>
  <si>
    <t>Trap Bobber</t>
  </si>
  <si>
    <t>168:000</t>
  </si>
  <si>
    <t>Trash</t>
  </si>
  <si>
    <t>166:000</t>
  </si>
  <si>
    <t>Treasure Chest</t>
  </si>
  <si>
    <t>693:000</t>
  </si>
  <si>
    <t>Treasure Hunter</t>
  </si>
  <si>
    <t>805:000</t>
  </si>
  <si>
    <t>Tree Fertilizer</t>
  </si>
  <si>
    <t>589:000</t>
  </si>
  <si>
    <t>Trilobite</t>
  </si>
  <si>
    <t>071:000</t>
  </si>
  <si>
    <t>Trimmed Lucky Purple Shorts</t>
  </si>
  <si>
    <t>253:000</t>
  </si>
  <si>
    <t>Triple Shot Espresso</t>
  </si>
  <si>
    <t>907:000</t>
  </si>
  <si>
    <t>Tropical Curry</t>
  </si>
  <si>
    <t>219:000</t>
  </si>
  <si>
    <t>Trout Soup</t>
  </si>
  <si>
    <t>430:000</t>
  </si>
  <si>
    <t>Truffle</t>
  </si>
  <si>
    <t>432:000</t>
  </si>
  <si>
    <t>Truffle Oil</t>
  </si>
  <si>
    <t>591:000</t>
  </si>
  <si>
    <t>Tulip</t>
  </si>
  <si>
    <t>427:000</t>
  </si>
  <si>
    <t>Tulip Bulb</t>
  </si>
  <si>
    <t>340:591</t>
  </si>
  <si>
    <t>Tulip Honey</t>
  </si>
  <si>
    <t>130:000</t>
  </si>
  <si>
    <t>Tuna</t>
  </si>
  <si>
    <t>812:130</t>
  </si>
  <si>
    <t>Tuna Roe</t>
  </si>
  <si>
    <t>294:000</t>
  </si>
  <si>
    <t>Twig</t>
  </si>
  <si>
    <t>271:000</t>
  </si>
  <si>
    <t>Unmilled Rice</t>
  </si>
  <si>
    <t>350:271</t>
  </si>
  <si>
    <t>Unmilled Rice Juice</t>
  </si>
  <si>
    <t>522:000</t>
  </si>
  <si>
    <t>Vampire Ring</t>
  </si>
  <si>
    <t>200:000</t>
  </si>
  <si>
    <t>Vegetable Medley</t>
  </si>
  <si>
    <t>419:000</t>
  </si>
  <si>
    <t>Vinegar</t>
  </si>
  <si>
    <t>305:000</t>
  </si>
  <si>
    <t>Void Egg</t>
  </si>
  <si>
    <t>769:000</t>
  </si>
  <si>
    <t>Void Essence</t>
  </si>
  <si>
    <t>808:000</t>
  </si>
  <si>
    <t>Void Ghost Pendant</t>
  </si>
  <si>
    <t>308:000</t>
  </si>
  <si>
    <t>Void Mayonnaise</t>
  </si>
  <si>
    <t>795:000</t>
  </si>
  <si>
    <t>Void Salmon</t>
  </si>
  <si>
    <t>812:795</t>
  </si>
  <si>
    <t>Void Salmon Roe</t>
  </si>
  <si>
    <t>140:000</t>
  </si>
  <si>
    <t>Walleye</t>
  </si>
  <si>
    <t>812:140</t>
  </si>
  <si>
    <t>Walleye Roe</t>
  </si>
  <si>
    <t>864:000</t>
  </si>
  <si>
    <t>War Memento</t>
  </si>
  <si>
    <t>690:000</t>
  </si>
  <si>
    <t>Warp Totem: Beach</t>
  </si>
  <si>
    <t>261:000</t>
  </si>
  <si>
    <t>Warp Totem: Desert</t>
  </si>
  <si>
    <t>688:000</t>
  </si>
  <si>
    <t>Warp Totem: Farm</t>
  </si>
  <si>
    <t>886:000</t>
  </si>
  <si>
    <t>Warp Totem: Island</t>
  </si>
  <si>
    <t>689:000</t>
  </si>
  <si>
    <t>Warp Totem: Mountains</t>
  </si>
  <si>
    <t>892:000</t>
  </si>
  <si>
    <t>Warp Totem: Qi's Arena</t>
  </si>
  <si>
    <t>521:000</t>
  </si>
  <si>
    <t>Warrior Ring</t>
  </si>
  <si>
    <t>331:000</t>
  </si>
  <si>
    <t>Weathered Floor</t>
  </si>
  <si>
    <t>801:000</t>
  </si>
  <si>
    <t>Wedding Ring</t>
  </si>
  <si>
    <t>000:000</t>
  </si>
  <si>
    <t>Weeds</t>
  </si>
  <si>
    <t>262:000</t>
  </si>
  <si>
    <t>Wheat</t>
  </si>
  <si>
    <t>246:000</t>
  </si>
  <si>
    <t>Wheat Flour</t>
  </si>
  <si>
    <t>483:000</t>
  </si>
  <si>
    <t>Wheat Seeds</t>
  </si>
  <si>
    <t>157:000</t>
  </si>
  <si>
    <t>White Algae</t>
  </si>
  <si>
    <t>774:000</t>
  </si>
  <si>
    <t>Wild Bait</t>
  </si>
  <si>
    <t>340:000</t>
  </si>
  <si>
    <t>Wild Honey</t>
  </si>
  <si>
    <t>016:000</t>
  </si>
  <si>
    <t>Wild Horseradish</t>
  </si>
  <si>
    <t>406:000</t>
  </si>
  <si>
    <t>Wild Plum</t>
  </si>
  <si>
    <t>344:406</t>
  </si>
  <si>
    <t>Wild Plum Jelly</t>
  </si>
  <si>
    <t>348:406</t>
  </si>
  <si>
    <t>Wild Plum Wine</t>
  </si>
  <si>
    <t>277:000</t>
  </si>
  <si>
    <t>Wilted Bouquet</t>
  </si>
  <si>
    <t>348:000</t>
  </si>
  <si>
    <t>Wine (Generic)</t>
  </si>
  <si>
    <t>412:000</t>
  </si>
  <si>
    <t>Winter Root</t>
  </si>
  <si>
    <t>498:000</t>
  </si>
  <si>
    <t>Winter Seeds</t>
  </si>
  <si>
    <t>388:000</t>
  </si>
  <si>
    <t>Wood</t>
  </si>
  <si>
    <t>322:000</t>
  </si>
  <si>
    <t>Wood Fence</t>
  </si>
  <si>
    <t>328:000</t>
  </si>
  <si>
    <t>Wood Floor</t>
  </si>
  <si>
    <t>405:000</t>
  </si>
  <si>
    <t>Wood Path</t>
  </si>
  <si>
    <t>734:000</t>
  </si>
  <si>
    <t>Woodskip</t>
  </si>
  <si>
    <t>812:734</t>
  </si>
  <si>
    <t>Woodskip Roe</t>
  </si>
  <si>
    <t>440:000</t>
  </si>
  <si>
    <t>Wool</t>
  </si>
  <si>
    <t>869:000</t>
  </si>
  <si>
    <t>Wriggling Worm</t>
  </si>
  <si>
    <t>280:000</t>
  </si>
  <si>
    <t>Yam</t>
  </si>
  <si>
    <t>350:280</t>
  </si>
  <si>
    <t>Yam Juice</t>
  </si>
  <si>
    <t>492:000</t>
  </si>
  <si>
    <t>Yam Seeds</t>
  </si>
  <si>
    <t>Gold</t>
  </si>
  <si>
    <t>Silver</t>
  </si>
  <si>
    <t>Iridium</t>
  </si>
  <si>
    <t>base price</t>
  </si>
  <si>
    <t>Rancher (Lvl 5)</t>
  </si>
  <si>
    <t>Farming</t>
  </si>
  <si>
    <t>Tiller (Lvl 5)</t>
  </si>
  <si>
    <t>Artisan (Lvl 10)</t>
  </si>
  <si>
    <t>Fishing</t>
  </si>
  <si>
    <t>Fisher (Lvl 5)</t>
  </si>
  <si>
    <t>Angler (Lvl 10)</t>
  </si>
  <si>
    <t>Foraging</t>
  </si>
  <si>
    <t>Forester (Lvl 5)</t>
  </si>
  <si>
    <t>Tapper (Lvl 10)</t>
  </si>
  <si>
    <t>Mining</t>
  </si>
  <si>
    <t>Blacksmith (Lvl 10)</t>
  </si>
  <si>
    <t>Gemologist (Lvl 10)</t>
  </si>
  <si>
    <t>Bear's Knowledge</t>
  </si>
  <si>
    <t>Spring Onion Mastery</t>
  </si>
  <si>
    <t>Sp. Event</t>
  </si>
  <si>
    <t>qual. pts</t>
  </si>
  <si>
    <t>perk mul.</t>
  </si>
  <si>
    <t>sell price</t>
  </si>
  <si>
    <t>Regular</t>
  </si>
  <si>
    <t>Points</t>
  </si>
  <si>
    <t>Quality</t>
  </si>
  <si>
    <t>Item</t>
  </si>
  <si>
    <t>Index</t>
  </si>
  <si>
    <t>Category</t>
  </si>
  <si>
    <t>sell idx</t>
  </si>
  <si>
    <t>Item points</t>
  </si>
  <si>
    <t>Category points</t>
  </si>
  <si>
    <t>Item count points</t>
  </si>
  <si>
    <t>Total</t>
  </si>
  <si>
    <t>Win:</t>
  </si>
  <si>
    <t>uniq cat</t>
  </si>
  <si>
    <t>CatPtText</t>
  </si>
  <si>
    <t>You come in fourth (50 star tokens).</t>
  </si>
  <si>
    <t>You get third place (200 star tokens).</t>
  </si>
  <si>
    <t>You place second (500 star tokens).</t>
  </si>
  <si>
    <t>You win first place (1000 star tokens).</t>
  </si>
  <si>
    <t>447:372</t>
  </si>
  <si>
    <t>Aged Clam Roe</t>
  </si>
  <si>
    <t>447:Goby</t>
  </si>
  <si>
    <t>Aged Goby Roe</t>
  </si>
  <si>
    <t>Book_AnimalCatalogue:000</t>
  </si>
  <si>
    <t>Animal Catalogue</t>
  </si>
  <si>
    <t>SkillBook_1:000</t>
  </si>
  <si>
    <t>Bait And Bobber</t>
  </si>
  <si>
    <t>BlueGrassStarter:000</t>
  </si>
  <si>
    <t>Blue Grass Starter</t>
  </si>
  <si>
    <t>PurpleBook:000</t>
  </si>
  <si>
    <t>Book Of Stars</t>
  </si>
  <si>
    <t>Book_Mystery:000</t>
  </si>
  <si>
    <t>Book of Mysteries</t>
  </si>
  <si>
    <t>Book_Artifact:000</t>
  </si>
  <si>
    <t>Book_Artifact</t>
  </si>
  <si>
    <t>Book_Grass:000</t>
  </si>
  <si>
    <t>Book_Grass</t>
  </si>
  <si>
    <t>Book_Horse:000</t>
  </si>
  <si>
    <t>Book_Horse</t>
  </si>
  <si>
    <t>Broccoli:000</t>
  </si>
  <si>
    <t>Broccoli</t>
  </si>
  <si>
    <t>350:Broccoli</t>
  </si>
  <si>
    <t>Broccoli Juice</t>
  </si>
  <si>
    <t>BroccoliSeeds:000</t>
  </si>
  <si>
    <t>Broccoli Seeds</t>
  </si>
  <si>
    <t>ButterflyPowder:000</t>
  </si>
  <si>
    <t>Butterfly Powder</t>
  </si>
  <si>
    <t>CalicoEgg:000</t>
  </si>
  <si>
    <t>Calico Egg</t>
  </si>
  <si>
    <t>Carrot:000</t>
  </si>
  <si>
    <t>Carrot</t>
  </si>
  <si>
    <t>350:Carrot</t>
  </si>
  <si>
    <t>Carrot Juice</t>
  </si>
  <si>
    <t>CarrotSeeds:000</t>
  </si>
  <si>
    <t>Carrot Seeds</t>
  </si>
  <si>
    <t>CaveJelly:000</t>
  </si>
  <si>
    <t>Cave Jelly</t>
  </si>
  <si>
    <t>ChallengeBait:000</t>
  </si>
  <si>
    <t>Challenge Bait</t>
  </si>
  <si>
    <t>812:372</t>
  </si>
  <si>
    <t>Clam Roe</t>
  </si>
  <si>
    <t>SkillBook_4:000</t>
  </si>
  <si>
    <t>Combat Quarterly</t>
  </si>
  <si>
    <t>DeluxeBait:000</t>
  </si>
  <si>
    <t>Deluxe Bait</t>
  </si>
  <si>
    <t>DriedFruit:000</t>
  </si>
  <si>
    <t>Dried</t>
  </si>
  <si>
    <t>Book_Bombs:000</t>
  </si>
  <si>
    <t>Dwarvish Safety Manual</t>
  </si>
  <si>
    <t>FarAwayStone:000</t>
  </si>
  <si>
    <t>Far Away Stone</t>
  </si>
  <si>
    <t>Book_Friendship:000</t>
  </si>
  <si>
    <t>Friendship 101</t>
  </si>
  <si>
    <t>Goby:000</t>
  </si>
  <si>
    <t>Goby</t>
  </si>
  <si>
    <t>812:Goby</t>
  </si>
  <si>
    <t>Goby Roe</t>
  </si>
  <si>
    <t>GoldCoin:000</t>
  </si>
  <si>
    <t>Gold Coin</t>
  </si>
  <si>
    <t>GoldenAnimalCracker:000</t>
  </si>
  <si>
    <t>Golden Animal Cracker</t>
  </si>
  <si>
    <t>GoldenBobber:000</t>
  </si>
  <si>
    <t>Golden Bobber</t>
  </si>
  <si>
    <t>GoldenMysteryBox:000</t>
  </si>
  <si>
    <t>Golden Mystery Box</t>
  </si>
  <si>
    <t>TroutDerbyTag:000</t>
  </si>
  <si>
    <t>Golden Tag</t>
  </si>
  <si>
    <t>GreenRainWeeds0:000</t>
  </si>
  <si>
    <t>GreenRainWeeds0</t>
  </si>
  <si>
    <t>GreenRainWeeds1:000</t>
  </si>
  <si>
    <t>GreenRainWeeds1</t>
  </si>
  <si>
    <t>GreenRainWeeds2:000</t>
  </si>
  <si>
    <t>GreenRainWeeds2</t>
  </si>
  <si>
    <t>GreenRainWeeds3:000</t>
  </si>
  <si>
    <t>GreenRainWeeds3</t>
  </si>
  <si>
    <t>GreenRainWeeds4:000</t>
  </si>
  <si>
    <t>GreenRainWeeds4</t>
  </si>
  <si>
    <t>GreenRainWeeds5:000</t>
  </si>
  <si>
    <t>GreenRainWeeds5</t>
  </si>
  <si>
    <t>GreenRainWeeds6:000</t>
  </si>
  <si>
    <t>GreenRainWeeds6</t>
  </si>
  <si>
    <t>GreenRainWeeds7:000</t>
  </si>
  <si>
    <t>GreenRainWeeds7</t>
  </si>
  <si>
    <t>742:000</t>
  </si>
  <si>
    <t>Haley's Lost Bracelet</t>
  </si>
  <si>
    <t>Book_Defense:000</t>
  </si>
  <si>
    <t>Jack Be Nimble, Jack Be Thick</t>
  </si>
  <si>
    <t>Book_Roe:000</t>
  </si>
  <si>
    <t>Jewels Of The Sea</t>
  </si>
  <si>
    <t>Book_Marlon:000</t>
  </si>
  <si>
    <t>Mapping Cave Systems</t>
  </si>
  <si>
    <t>SkillBook_3:000</t>
  </si>
  <si>
    <t>Mining Monthly</t>
  </si>
  <si>
    <t>MixedFlowerSeeds:000</t>
  </si>
  <si>
    <t>Mixed Flower Seeds</t>
  </si>
  <si>
    <t>Book_Void:000</t>
  </si>
  <si>
    <t>Monster Compendium</t>
  </si>
  <si>
    <t>Moss:000</t>
  </si>
  <si>
    <t>Moss</t>
  </si>
  <si>
    <t>MossSoup:000</t>
  </si>
  <si>
    <t>Moss Soup</t>
  </si>
  <si>
    <t>MossySeed:000</t>
  </si>
  <si>
    <t>Mossy Seed</t>
  </si>
  <si>
    <t>MysteryBox:000</t>
  </si>
  <si>
    <t>Mystery Box</t>
  </si>
  <si>
    <t>MysticSyrup:000</t>
  </si>
  <si>
    <t>Mystic Syrup</t>
  </si>
  <si>
    <t>MysticTreeSeed:000</t>
  </si>
  <si>
    <t>Mystic Tree Seed</t>
  </si>
  <si>
    <t>PetLicense:000</t>
  </si>
  <si>
    <t>Pet License</t>
  </si>
  <si>
    <t>342:Broccoli</t>
  </si>
  <si>
    <t>Pickled Broccoli</t>
  </si>
  <si>
    <t>342:Carrot</t>
  </si>
  <si>
    <t>Pickled Carrot</t>
  </si>
  <si>
    <t>342:SummerSquash</t>
  </si>
  <si>
    <t>Pickled Summer Squash</t>
  </si>
  <si>
    <t>PotOfGold:000</t>
  </si>
  <si>
    <t>PotOfGold</t>
  </si>
  <si>
    <t>Powdermelon:000</t>
  </si>
  <si>
    <t>Powdermelon</t>
  </si>
  <si>
    <t>344:Powdermelon</t>
  </si>
  <si>
    <t>Powdermelon Jelly</t>
  </si>
  <si>
    <t>PowdermelonSeeds:000</t>
  </si>
  <si>
    <t>Powdermelon Seeds</t>
  </si>
  <si>
    <t>348:Powdermelon</t>
  </si>
  <si>
    <t>Powdermelon Wine</t>
  </si>
  <si>
    <t>Book_PriceCatalogue:000</t>
  </si>
  <si>
    <t>Price Catalogue</t>
  </si>
  <si>
    <t>PrizeTicket:000</t>
  </si>
  <si>
    <t>Prize Ticket</t>
  </si>
  <si>
    <t>Book_QueenOfSauce:000</t>
  </si>
  <si>
    <t>Queen Of Sauce Cookbook</t>
  </si>
  <si>
    <t>Raisins:000</t>
  </si>
  <si>
    <t>Raisins</t>
  </si>
  <si>
    <t>RiverJelly:000</t>
  </si>
  <si>
    <t>River Jelly</t>
  </si>
  <si>
    <t>SeaJelly:000</t>
  </si>
  <si>
    <t>Sea Jelly</t>
  </si>
  <si>
    <t>SeedSpot:000</t>
  </si>
  <si>
    <t>Seed Spot</t>
  </si>
  <si>
    <t>SmokedFish:000</t>
  </si>
  <si>
    <t>Smoked</t>
  </si>
  <si>
    <t>SonarBobber:000</t>
  </si>
  <si>
    <t>Sonar Bobber</t>
  </si>
  <si>
    <t>SkillBook_0:000</t>
  </si>
  <si>
    <t>Stardew Valley Almanac</t>
  </si>
  <si>
    <t>StardropTea:000</t>
  </si>
  <si>
    <t>Stardrop Tea</t>
  </si>
  <si>
    <t>SummerSquash:000</t>
  </si>
  <si>
    <t>Summer Squash</t>
  </si>
  <si>
    <t>350:SummerSquash</t>
  </si>
  <si>
    <t>Summer Squash Juice</t>
  </si>
  <si>
    <t>SummerSquashSeeds:000</t>
  </si>
  <si>
    <t>Summer Squash Seeds</t>
  </si>
  <si>
    <t>TentKit:000</t>
  </si>
  <si>
    <t>Tent Kit</t>
  </si>
  <si>
    <t>Book_Trash:000</t>
  </si>
  <si>
    <t>The Alleyway Buffet</t>
  </si>
  <si>
    <t>Book_Crabbing:000</t>
  </si>
  <si>
    <t>The Art O' Crabbing</t>
  </si>
  <si>
    <t>Book_Diamonds:000</t>
  </si>
  <si>
    <t>The Diamond Hunter</t>
  </si>
  <si>
    <t>TreasureTotem:000</t>
  </si>
  <si>
    <t>Treasure Totem</t>
  </si>
  <si>
    <t>Book_Speed:000</t>
  </si>
  <si>
    <t>Way Of The Wind pt. 1</t>
  </si>
  <si>
    <t>Book_Speed2:000</t>
  </si>
  <si>
    <t>Way Of The Wind pt. 2</t>
  </si>
  <si>
    <t>Book_WildSeeds:000</t>
  </si>
  <si>
    <t>Ways Of The Wild</t>
  </si>
  <si>
    <t>SkillBook_2:000</t>
  </si>
  <si>
    <t>Woodcutter's Weekly</t>
  </si>
  <si>
    <t>Book_Woodcutting:000</t>
  </si>
  <si>
    <t>Woody's 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</si>
</sst>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249977111117893"/>
      <name val="Calibri"/>
      <family val="2"/>
      <scheme val="minor"/>
    </font>
    <font>
      <sz val="12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2" borderId="0" xfId="0" applyFill="1"/>
    <xf numFmtId="0" fontId="1" fillId="0" borderId="7" xfId="0" applyFont="1" applyBorder="1"/>
    <xf numFmtId="0" fontId="3" fillId="0" borderId="7" xfId="0" applyFont="1" applyBorder="1"/>
    <xf numFmtId="0" fontId="1" fillId="0" borderId="5" xfId="0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4" fillId="0" borderId="2" xfId="0" applyFont="1" applyBorder="1"/>
    <xf numFmtId="0" fontId="4" fillId="0" borderId="0" xfId="0" applyFont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B3E8-B0F0-194F-B74D-F66E08DE3352}">
  <dimension ref="A1:X37"/>
  <sheetViews>
    <sheetView workbookViewId="0">
      <selection activeCell="C3" sqref="C3:C11"/>
    </sheetView>
  </sheetViews>
  <sheetFormatPr baseColWidth="10" defaultRowHeight="16" x14ac:dyDescent="0.2"/>
  <cols>
    <col min="1" max="1" width="4.6640625" customWidth="1"/>
    <col min="3" max="3" width="25" customWidth="1"/>
    <col min="4" max="4" width="17.1640625" customWidth="1"/>
    <col min="5" max="5" width="8.83203125" customWidth="1"/>
    <col min="6" max="6" width="20.6640625" bestFit="1" customWidth="1"/>
    <col min="7" max="9" width="10" customWidth="1"/>
    <col min="10" max="10" width="7.1640625" customWidth="1"/>
    <col min="11" max="24" width="7.5" customWidth="1"/>
  </cols>
  <sheetData>
    <row r="1" spans="1:24" ht="8" customHeight="1" x14ac:dyDescent="0.2"/>
    <row r="2" spans="1:24" s="1" customFormat="1" x14ac:dyDescent="0.2">
      <c r="B2" s="1" t="s">
        <v>1770</v>
      </c>
      <c r="C2" s="1" t="s">
        <v>1771</v>
      </c>
      <c r="D2" s="1" t="s">
        <v>1773</v>
      </c>
      <c r="E2" s="1" t="s">
        <v>1769</v>
      </c>
      <c r="F2" s="1" t="s">
        <v>1781</v>
      </c>
      <c r="G2" s="1" t="s">
        <v>1767</v>
      </c>
      <c r="H2" s="1" t="s">
        <v>1748</v>
      </c>
      <c r="I2" s="1" t="s">
        <v>1774</v>
      </c>
      <c r="J2" s="1" t="s">
        <v>1772</v>
      </c>
      <c r="K2" s="1" t="s">
        <v>1765</v>
      </c>
      <c r="L2" s="1" t="s">
        <v>1766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1780</v>
      </c>
    </row>
    <row r="3" spans="1:24" x14ac:dyDescent="0.2">
      <c r="A3" s="10">
        <v>1</v>
      </c>
      <c r="B3" s="11" t="s">
        <v>1768</v>
      </c>
      <c r="C3" s="11"/>
      <c r="D3" t="str" cm="1">
        <f t="array" ref="D3">_xlfn.IFNA(INDEX(Data!$D:$D,UI!$J3,1),"")</f>
        <v>[None]</v>
      </c>
      <c r="E3" cm="1">
        <f t="array" ref="E3">_xlfn.IFNA(INDEX($K$19:$O$23,I3,K3+1)+K3+1,0)</f>
        <v>0</v>
      </c>
      <c r="F3" t="str">
        <f>IF(D3&lt;&gt;"",(D3&amp;", "&amp;E3&amp;"pts."),"")</f>
        <v>[None], 0pts.</v>
      </c>
      <c r="G3">
        <f t="shared" ref="G3:G5" si="0">_xlfn.IFNA(H3*(1+K3*0.25),0)</f>
        <v>0</v>
      </c>
      <c r="H3" cm="1">
        <f t="array" ref="H3">_xlfn.IFNA(INDEX(Data!$C:$C,UI!$J3,1),0)</f>
        <v>0</v>
      </c>
      <c r="I3" t="e">
        <f t="shared" ref="I3:I11" si="1">MATCH(G3,$J$19:$J$23,1)</f>
        <v>#N/A</v>
      </c>
      <c r="J3">
        <f>_xlfn.IFNA(MATCH(UI!$C3,Data!$B:$B,0),2)</f>
        <v>2</v>
      </c>
      <c r="K3">
        <f>_xlfn.IFNA(INDEX($H$20:$H$23,MATCH($B3,$G$20:$G$23,0)),0)</f>
        <v>0</v>
      </c>
      <c r="L3">
        <f>PRODUCT(M3,N3,O3,P3,Q3,R3,S3,T3,U3,V3,W3)</f>
        <v>1</v>
      </c>
      <c r="M3" cm="1">
        <f t="array" ref="M3">IF(M$13,INDEX(Data!E:E,UI!$J3,1),1)</f>
        <v>1</v>
      </c>
      <c r="N3" cm="1">
        <f t="array" ref="N3">IF(N$13,INDEX(Data!F:F,UI!$J3,1),1)</f>
        <v>1</v>
      </c>
      <c r="O3" cm="1">
        <f t="array" ref="O3">IF(O$13,INDEX(Data!G:G,UI!$J3,1),1)</f>
        <v>1</v>
      </c>
      <c r="P3" cm="1">
        <f t="array" ref="P3">IF(P$13,INDEX(Data!H:H,UI!$J3,1),1)</f>
        <v>1</v>
      </c>
      <c r="Q3" cm="1">
        <f t="array" ref="Q3">IF(Q$13,INDEX(Data!I:I,UI!$J3,1),1)</f>
        <v>1</v>
      </c>
      <c r="R3" cm="1">
        <f t="array" ref="R3">IF(R$13,INDEX(Data!J:J,UI!$J3,1),1)</f>
        <v>1</v>
      </c>
      <c r="S3" cm="1">
        <f t="array" ref="S3">IF(S$13,INDEX(Data!K:K,UI!$J3,1),1)</f>
        <v>1</v>
      </c>
      <c r="T3" cm="1">
        <f t="array" ref="T3">IF(T$13,INDEX(Data!L:L,UI!$J3,1),1)</f>
        <v>1</v>
      </c>
      <c r="U3" cm="1">
        <f t="array" ref="U3">IF(U$13,INDEX(Data!M:M,UI!$J3,1),1)</f>
        <v>1</v>
      </c>
      <c r="V3" cm="1">
        <f t="array" ref="V3">IF(R$14,INDEX(Data!N:N,UI!$J3,1),1)</f>
        <v>1</v>
      </c>
      <c r="W3" cm="1">
        <f t="array" ref="W3">IF(W$13,INDEX(Data!O:O,UI!$J3,1),1)</f>
        <v>1</v>
      </c>
      <c r="X3">
        <f>(_xlfn.IFNA(MATCH(D3,D$3:D$11,0),"")=A3)*1</f>
        <v>1</v>
      </c>
    </row>
    <row r="4" spans="1:24" x14ac:dyDescent="0.2">
      <c r="A4" s="10">
        <v>2</v>
      </c>
      <c r="B4" s="11" t="s">
        <v>1768</v>
      </c>
      <c r="C4" s="11"/>
      <c r="D4" t="str" cm="1">
        <f t="array" ref="D4">_xlfn.IFNA(INDEX(Data!$D:$D,UI!$J4,1),"")</f>
        <v>[None]</v>
      </c>
      <c r="E4" cm="1">
        <f t="array" ref="E4">_xlfn.IFNA(INDEX($K$19:$O$23,I4,K4+1)+K4+1,0)</f>
        <v>0</v>
      </c>
      <c r="F4" t="str">
        <f t="shared" ref="F4:F11" si="2">IF(D4&lt;&gt;"",(D4&amp;", "&amp;E4&amp;"pts."),"")</f>
        <v>[None], 0pts.</v>
      </c>
      <c r="G4">
        <f t="shared" si="0"/>
        <v>0</v>
      </c>
      <c r="H4" cm="1">
        <f t="array" ref="H4">_xlfn.IFNA(INDEX(Data!$C:$C,UI!$J4,1),0)</f>
        <v>0</v>
      </c>
      <c r="I4" t="e">
        <f t="shared" si="1"/>
        <v>#N/A</v>
      </c>
      <c r="J4">
        <f>_xlfn.IFNA(MATCH(UI!$C4,Data!$B:$B,0),2)</f>
        <v>2</v>
      </c>
      <c r="K4">
        <f t="shared" ref="K4:K11" si="3">_xlfn.IFNA(INDEX($H$20:$H$23,MATCH($B4,$G$20:$G$23,0)),0)</f>
        <v>0</v>
      </c>
      <c r="L4">
        <f t="shared" ref="L4:L11" si="4">PRODUCT(M4,N4,O4,P4,Q4,R4,S4,T4,U4,V4,W4)</f>
        <v>1</v>
      </c>
      <c r="M4" cm="1">
        <f t="array" ref="M4">IF(M$13,INDEX(Data!E:E,UI!$J4,1),1)</f>
        <v>1</v>
      </c>
      <c r="N4" cm="1">
        <f t="array" ref="N4">IF(N$13,INDEX(Data!F:F,UI!$J4,1),1)</f>
        <v>1</v>
      </c>
      <c r="O4" cm="1">
        <f t="array" ref="O4">IF(O$13,INDEX(Data!G:G,UI!$J4,1),1)</f>
        <v>1</v>
      </c>
      <c r="P4" cm="1">
        <f t="array" ref="P4">IF(P$13,INDEX(Data!H:H,UI!$J4,1),1)</f>
        <v>1</v>
      </c>
      <c r="Q4" cm="1">
        <f t="array" ref="Q4">IF(Q$13,INDEX(Data!I:I,UI!$J4,1),1)</f>
        <v>1</v>
      </c>
      <c r="R4" cm="1">
        <f t="array" ref="R4">IF(R$13,INDEX(Data!J:J,UI!$J4,1),1)</f>
        <v>1</v>
      </c>
      <c r="S4" cm="1">
        <f t="array" ref="S4">IF(S$13,INDEX(Data!K:K,UI!$J4,1),1)</f>
        <v>1</v>
      </c>
      <c r="T4" cm="1">
        <f t="array" ref="T4">IF(T$13,INDEX(Data!L:L,UI!$J4,1),1)</f>
        <v>1</v>
      </c>
      <c r="U4" cm="1">
        <f t="array" ref="U4">IF(U$13,INDEX(Data!M:M,UI!$J4,1),1)</f>
        <v>1</v>
      </c>
      <c r="V4" cm="1">
        <f t="array" ref="V4">IF(R$14,INDEX(Data!N:N,UI!$J4,1),1)</f>
        <v>1</v>
      </c>
      <c r="W4" cm="1">
        <f t="array" ref="W4">IF(W$13,INDEX(Data!O:O,UI!$J4,1),1)</f>
        <v>1</v>
      </c>
      <c r="X4">
        <f t="shared" ref="X4:X11" si="5">(_xlfn.IFNA(MATCH(D4,D$3:D$11,0),"")=A4)*1</f>
        <v>0</v>
      </c>
    </row>
    <row r="5" spans="1:24" x14ac:dyDescent="0.2">
      <c r="A5" s="10">
        <v>3</v>
      </c>
      <c r="B5" s="11" t="s">
        <v>1768</v>
      </c>
      <c r="C5" s="11"/>
      <c r="D5" t="str" cm="1">
        <f t="array" ref="D5">_xlfn.IFNA(INDEX(Data!$D:$D,UI!$J5,1),"")</f>
        <v>[None]</v>
      </c>
      <c r="E5" cm="1">
        <f t="array" ref="E5">_xlfn.IFNA(INDEX($K$19:$O$23,I5,K5+1)+K5+1,0)</f>
        <v>0</v>
      </c>
      <c r="F5" t="str">
        <f t="shared" si="2"/>
        <v>[None], 0pts.</v>
      </c>
      <c r="G5">
        <f t="shared" si="0"/>
        <v>0</v>
      </c>
      <c r="H5" cm="1">
        <f t="array" ref="H5">_xlfn.IFNA(INDEX(Data!$C:$C,UI!$J5,1),0)</f>
        <v>0</v>
      </c>
      <c r="I5" t="e">
        <f t="shared" si="1"/>
        <v>#N/A</v>
      </c>
      <c r="J5">
        <f>_xlfn.IFNA(MATCH(UI!$C5,Data!$B:$B,0),2)</f>
        <v>2</v>
      </c>
      <c r="K5">
        <f t="shared" si="3"/>
        <v>0</v>
      </c>
      <c r="L5">
        <f t="shared" si="4"/>
        <v>1</v>
      </c>
      <c r="M5" cm="1">
        <f t="array" ref="M5">IF(M$13,INDEX(Data!E:E,UI!$J5,1),1)</f>
        <v>1</v>
      </c>
      <c r="N5" cm="1">
        <f t="array" ref="N5">IF(N$13,INDEX(Data!F:F,UI!$J5,1),1)</f>
        <v>1</v>
      </c>
      <c r="O5" cm="1">
        <f t="array" ref="O5">IF(O$13,INDEX(Data!G:G,UI!$J5,1),1)</f>
        <v>1</v>
      </c>
      <c r="P5" cm="1">
        <f t="array" ref="P5">IF(P$13,INDEX(Data!H:H,UI!$J5,1),1)</f>
        <v>1</v>
      </c>
      <c r="Q5" cm="1">
        <f t="array" ref="Q5">IF(Q$13,INDEX(Data!I:I,UI!$J5,1),1)</f>
        <v>1</v>
      </c>
      <c r="R5" cm="1">
        <f t="array" ref="R5">IF(R$13,INDEX(Data!J:J,UI!$J5,1),1)</f>
        <v>1</v>
      </c>
      <c r="S5" cm="1">
        <f t="array" ref="S5">IF(S$13,INDEX(Data!K:K,UI!$J5,1),1)</f>
        <v>1</v>
      </c>
      <c r="T5" cm="1">
        <f t="array" ref="T5">IF(T$13,INDEX(Data!L:L,UI!$J5,1),1)</f>
        <v>1</v>
      </c>
      <c r="U5" cm="1">
        <f t="array" ref="U5">IF(U$13,INDEX(Data!M:M,UI!$J5,1),1)</f>
        <v>1</v>
      </c>
      <c r="V5" cm="1">
        <f t="array" ref="V5">IF(R$14,INDEX(Data!N:N,UI!$J5,1),1)</f>
        <v>1</v>
      </c>
      <c r="W5" cm="1">
        <f t="array" ref="W5">IF(W$13,INDEX(Data!O:O,UI!$J5,1),1)</f>
        <v>1</v>
      </c>
      <c r="X5">
        <f t="shared" si="5"/>
        <v>0</v>
      </c>
    </row>
    <row r="6" spans="1:24" x14ac:dyDescent="0.2">
      <c r="A6" s="10">
        <v>4</v>
      </c>
      <c r="B6" s="11" t="s">
        <v>1768</v>
      </c>
      <c r="C6" s="11"/>
      <c r="D6" t="str" cm="1">
        <f t="array" ref="D6">_xlfn.IFNA(INDEX(Data!$D:$D,UI!$J6,1),"")</f>
        <v>[None]</v>
      </c>
      <c r="E6" cm="1">
        <f t="array" ref="E6">_xlfn.IFNA(INDEX($K$19:$O$23,I6,K6+1)+K6+1,0)</f>
        <v>0</v>
      </c>
      <c r="F6" t="str">
        <f t="shared" si="2"/>
        <v>[None], 0pts.</v>
      </c>
      <c r="G6">
        <f>_xlfn.IFNA(H6*(1+K6*0.25),0)</f>
        <v>0</v>
      </c>
      <c r="H6" cm="1">
        <f t="array" ref="H6">_xlfn.IFNA(INDEX(Data!$C:$C,UI!$J6,1),0)</f>
        <v>0</v>
      </c>
      <c r="I6" t="e">
        <f t="shared" si="1"/>
        <v>#N/A</v>
      </c>
      <c r="J6">
        <f>_xlfn.IFNA(MATCH(UI!$C6,Data!$B:$B,0),2)</f>
        <v>2</v>
      </c>
      <c r="K6">
        <f t="shared" si="3"/>
        <v>0</v>
      </c>
      <c r="L6">
        <f t="shared" si="4"/>
        <v>1</v>
      </c>
      <c r="M6" cm="1">
        <f t="array" ref="M6">IF(M$13,INDEX(Data!E:E,UI!$J6,1),1)</f>
        <v>1</v>
      </c>
      <c r="N6" cm="1">
        <f t="array" ref="N6">IF(N$13,INDEX(Data!F:F,UI!$J6,1),1)</f>
        <v>1</v>
      </c>
      <c r="O6" cm="1">
        <f t="array" ref="O6">IF(O$13,INDEX(Data!G:G,UI!$J6,1),1)</f>
        <v>1</v>
      </c>
      <c r="P6" cm="1">
        <f t="array" ref="P6">IF(P$13,INDEX(Data!H:H,UI!$J6,1),1)</f>
        <v>1</v>
      </c>
      <c r="Q6" cm="1">
        <f t="array" ref="Q6">IF(Q$13,INDEX(Data!I:I,UI!$J6,1),1)</f>
        <v>1</v>
      </c>
      <c r="R6" cm="1">
        <f t="array" ref="R6">IF(R$13,INDEX(Data!J:J,UI!$J6,1),1)</f>
        <v>1</v>
      </c>
      <c r="S6" cm="1">
        <f t="array" ref="S6">IF(S$13,INDEX(Data!K:K,UI!$J6,1),1)</f>
        <v>1</v>
      </c>
      <c r="T6" cm="1">
        <f t="array" ref="T6">IF(T$13,INDEX(Data!L:L,UI!$J6,1),1)</f>
        <v>1</v>
      </c>
      <c r="U6" cm="1">
        <f t="array" ref="U6">IF(U$13,INDEX(Data!M:M,UI!$J6,1),1)</f>
        <v>1</v>
      </c>
      <c r="V6" cm="1">
        <f t="array" ref="V6">IF(R$14,INDEX(Data!N:N,UI!$J6,1),1)</f>
        <v>1</v>
      </c>
      <c r="W6" cm="1">
        <f t="array" ref="W6">IF(W$13,INDEX(Data!O:O,UI!$J6,1),1)</f>
        <v>1</v>
      </c>
      <c r="X6">
        <f t="shared" si="5"/>
        <v>0</v>
      </c>
    </row>
    <row r="7" spans="1:24" x14ac:dyDescent="0.2">
      <c r="A7" s="10">
        <v>5</v>
      </c>
      <c r="B7" s="11" t="s">
        <v>1768</v>
      </c>
      <c r="C7" s="11"/>
      <c r="D7" t="str" cm="1">
        <f t="array" ref="D7">_xlfn.IFNA(INDEX(Data!$D:$D,UI!$J7,1),"")</f>
        <v>[None]</v>
      </c>
      <c r="E7" cm="1">
        <f t="array" ref="E7">_xlfn.IFNA(INDEX($K$19:$O$23,I7,K7+1)+K7+1,0)</f>
        <v>0</v>
      </c>
      <c r="F7" t="str">
        <f t="shared" si="2"/>
        <v>[None], 0pts.</v>
      </c>
      <c r="G7">
        <f t="shared" ref="G7:G11" si="6">_xlfn.IFNA(H7*(1+K7*0.25),0)</f>
        <v>0</v>
      </c>
      <c r="H7" cm="1">
        <f t="array" ref="H7">_xlfn.IFNA(INDEX(Data!$C:$C,UI!$J7,1),0)</f>
        <v>0</v>
      </c>
      <c r="I7" t="e">
        <f t="shared" si="1"/>
        <v>#N/A</v>
      </c>
      <c r="J7">
        <f>_xlfn.IFNA(MATCH(UI!$C7,Data!$B:$B,0),2)</f>
        <v>2</v>
      </c>
      <c r="K7">
        <f t="shared" si="3"/>
        <v>0</v>
      </c>
      <c r="L7">
        <f t="shared" si="4"/>
        <v>1</v>
      </c>
      <c r="M7" cm="1">
        <f t="array" ref="M7">IF(M$13,INDEX(Data!E:E,UI!$J7,1),1)</f>
        <v>1</v>
      </c>
      <c r="N7" cm="1">
        <f t="array" ref="N7">IF(N$13,INDEX(Data!F:F,UI!$J7,1),1)</f>
        <v>1</v>
      </c>
      <c r="O7" cm="1">
        <f t="array" ref="O7">IF(O$13,INDEX(Data!G:G,UI!$J7,1),1)</f>
        <v>1</v>
      </c>
      <c r="P7" cm="1">
        <f t="array" ref="P7">IF(P$13,INDEX(Data!H:H,UI!$J7,1),1)</f>
        <v>1</v>
      </c>
      <c r="Q7" cm="1">
        <f t="array" ref="Q7">IF(Q$13,INDEX(Data!I:I,UI!$J7,1),1)</f>
        <v>1</v>
      </c>
      <c r="R7" cm="1">
        <f t="array" ref="R7">IF(R$13,INDEX(Data!J:J,UI!$J7,1),1)</f>
        <v>1</v>
      </c>
      <c r="S7" cm="1">
        <f t="array" ref="S7">IF(S$13,INDEX(Data!K:K,UI!$J7,1),1)</f>
        <v>1</v>
      </c>
      <c r="T7" cm="1">
        <f t="array" ref="T7">IF(T$13,INDEX(Data!L:L,UI!$J7,1),1)</f>
        <v>1</v>
      </c>
      <c r="U7" cm="1">
        <f t="array" ref="U7">IF(U$13,INDEX(Data!M:M,UI!$J7,1),1)</f>
        <v>1</v>
      </c>
      <c r="V7" cm="1">
        <f t="array" ref="V7">IF(R$14,INDEX(Data!N:N,UI!$J7,1),1)</f>
        <v>1</v>
      </c>
      <c r="W7" cm="1">
        <f t="array" ref="W7">IF(W$13,INDEX(Data!O:O,UI!$J7,1),1)</f>
        <v>1</v>
      </c>
      <c r="X7">
        <f t="shared" si="5"/>
        <v>0</v>
      </c>
    </row>
    <row r="8" spans="1:24" x14ac:dyDescent="0.2">
      <c r="A8" s="10">
        <v>6</v>
      </c>
      <c r="B8" s="11" t="s">
        <v>1768</v>
      </c>
      <c r="C8" s="11"/>
      <c r="D8" t="str" cm="1">
        <f t="array" ref="D8">_xlfn.IFNA(INDEX(Data!$D:$D,UI!$J8,1),"")</f>
        <v>[None]</v>
      </c>
      <c r="E8" cm="1">
        <f t="array" ref="E8">_xlfn.IFNA(INDEX($K$19:$O$23,I8,K8+1)+K8+1,0)</f>
        <v>0</v>
      </c>
      <c r="F8" t="str">
        <f t="shared" si="2"/>
        <v>[None], 0pts.</v>
      </c>
      <c r="G8">
        <f t="shared" si="6"/>
        <v>0</v>
      </c>
      <c r="H8" cm="1">
        <f t="array" ref="H8">_xlfn.IFNA(INDEX(Data!$C:$C,UI!$J8,1),0)</f>
        <v>0</v>
      </c>
      <c r="I8" t="e">
        <f t="shared" si="1"/>
        <v>#N/A</v>
      </c>
      <c r="J8">
        <f>_xlfn.IFNA(MATCH(UI!$C8,Data!$B:$B,0),2)</f>
        <v>2</v>
      </c>
      <c r="K8">
        <f t="shared" si="3"/>
        <v>0</v>
      </c>
      <c r="L8">
        <f t="shared" si="4"/>
        <v>1</v>
      </c>
      <c r="M8" cm="1">
        <f t="array" ref="M8">IF(M$13,INDEX(Data!E:E,UI!$J8,1),1)</f>
        <v>1</v>
      </c>
      <c r="N8" cm="1">
        <f t="array" ref="N8">IF(N$13,INDEX(Data!F:F,UI!$J8,1),1)</f>
        <v>1</v>
      </c>
      <c r="O8" cm="1">
        <f t="array" ref="O8">IF(O$13,INDEX(Data!G:G,UI!$J8,1),1)</f>
        <v>1</v>
      </c>
      <c r="P8" cm="1">
        <f t="array" ref="P8">IF(P$13,INDEX(Data!H:H,UI!$J8,1),1)</f>
        <v>1</v>
      </c>
      <c r="Q8" cm="1">
        <f t="array" ref="Q8">IF(Q$13,INDEX(Data!I:I,UI!$J8,1),1)</f>
        <v>1</v>
      </c>
      <c r="R8" cm="1">
        <f t="array" ref="R8">IF(R$13,INDEX(Data!J:J,UI!$J8,1),1)</f>
        <v>1</v>
      </c>
      <c r="S8" cm="1">
        <f t="array" ref="S8">IF(S$13,INDEX(Data!K:K,UI!$J8,1),1)</f>
        <v>1</v>
      </c>
      <c r="T8" cm="1">
        <f t="array" ref="T8">IF(T$13,INDEX(Data!L:L,UI!$J8,1),1)</f>
        <v>1</v>
      </c>
      <c r="U8" cm="1">
        <f t="array" ref="U8">IF(U$13,INDEX(Data!M:M,UI!$J8,1),1)</f>
        <v>1</v>
      </c>
      <c r="V8" cm="1">
        <f t="array" ref="V8">IF(R$14,INDEX(Data!N:N,UI!$J8,1),1)</f>
        <v>1</v>
      </c>
      <c r="W8" cm="1">
        <f t="array" ref="W8">IF(W$13,INDEX(Data!O:O,UI!$J8,1),1)</f>
        <v>1</v>
      </c>
      <c r="X8">
        <f t="shared" si="5"/>
        <v>0</v>
      </c>
    </row>
    <row r="9" spans="1:24" x14ac:dyDescent="0.2">
      <c r="A9" s="10">
        <v>7</v>
      </c>
      <c r="B9" s="11" t="s">
        <v>1768</v>
      </c>
      <c r="C9" s="11"/>
      <c r="D9" t="str" cm="1">
        <f t="array" ref="D9">_xlfn.IFNA(INDEX(Data!$D:$D,UI!$J9,1),"")</f>
        <v>[None]</v>
      </c>
      <c r="E9" cm="1">
        <f t="array" ref="E9">_xlfn.IFNA(INDEX($K$19:$O$23,I9,K9+1)+K9+1,0)</f>
        <v>0</v>
      </c>
      <c r="F9" t="str">
        <f t="shared" si="2"/>
        <v>[None], 0pts.</v>
      </c>
      <c r="G9">
        <f t="shared" si="6"/>
        <v>0</v>
      </c>
      <c r="H9" cm="1">
        <f t="array" ref="H9">_xlfn.IFNA(INDEX(Data!$C:$C,UI!$J9,1),0)</f>
        <v>0</v>
      </c>
      <c r="I9" t="e">
        <f t="shared" si="1"/>
        <v>#N/A</v>
      </c>
      <c r="J9">
        <f>_xlfn.IFNA(MATCH(UI!$C9,Data!$B:$B,0),2)</f>
        <v>2</v>
      </c>
      <c r="K9">
        <f t="shared" si="3"/>
        <v>0</v>
      </c>
      <c r="L9">
        <f t="shared" si="4"/>
        <v>1</v>
      </c>
      <c r="M9" cm="1">
        <f t="array" ref="M9">IF(M$13,INDEX(Data!E:E,UI!$J9,1),1)</f>
        <v>1</v>
      </c>
      <c r="N9" cm="1">
        <f t="array" ref="N9">IF(N$13,INDEX(Data!F:F,UI!$J9,1),1)</f>
        <v>1</v>
      </c>
      <c r="O9" cm="1">
        <f t="array" ref="O9">IF(O$13,INDEX(Data!G:G,UI!$J9,1),1)</f>
        <v>1</v>
      </c>
      <c r="P9" cm="1">
        <f t="array" ref="P9">IF(P$13,INDEX(Data!H:H,UI!$J9,1),1)</f>
        <v>1</v>
      </c>
      <c r="Q9" cm="1">
        <f t="array" ref="Q9">IF(Q$13,INDEX(Data!I:I,UI!$J9,1),1)</f>
        <v>1</v>
      </c>
      <c r="R9" cm="1">
        <f t="array" ref="R9">IF(R$13,INDEX(Data!J:J,UI!$J9,1),1)</f>
        <v>1</v>
      </c>
      <c r="S9" cm="1">
        <f t="array" ref="S9">IF(S$13,INDEX(Data!K:K,UI!$J9,1),1)</f>
        <v>1</v>
      </c>
      <c r="T9" cm="1">
        <f t="array" ref="T9">IF(T$13,INDEX(Data!L:L,UI!$J9,1),1)</f>
        <v>1</v>
      </c>
      <c r="U9" cm="1">
        <f t="array" ref="U9">IF(U$13,INDEX(Data!M:M,UI!$J9,1),1)</f>
        <v>1</v>
      </c>
      <c r="V9" cm="1">
        <f t="array" ref="V9">IF(R$14,INDEX(Data!N:N,UI!$J9,1),1)</f>
        <v>1</v>
      </c>
      <c r="W9" cm="1">
        <f t="array" ref="W9">IF(W$13,INDEX(Data!O:O,UI!$J9,1),1)</f>
        <v>1</v>
      </c>
      <c r="X9">
        <f t="shared" si="5"/>
        <v>0</v>
      </c>
    </row>
    <row r="10" spans="1:24" x14ac:dyDescent="0.2">
      <c r="A10" s="10">
        <v>8</v>
      </c>
      <c r="B10" s="11" t="s">
        <v>1768</v>
      </c>
      <c r="C10" s="11"/>
      <c r="D10" t="str" cm="1">
        <f t="array" ref="D10">_xlfn.IFNA(INDEX(Data!$D:$D,UI!$J10,1),"")</f>
        <v>[None]</v>
      </c>
      <c r="E10" cm="1">
        <f t="array" ref="E10">_xlfn.IFNA(INDEX($K$19:$O$23,I10,K10+1)+K10+1,0)</f>
        <v>0</v>
      </c>
      <c r="F10" t="str">
        <f t="shared" si="2"/>
        <v>[None], 0pts.</v>
      </c>
      <c r="G10">
        <f t="shared" si="6"/>
        <v>0</v>
      </c>
      <c r="H10" cm="1">
        <f t="array" ref="H10">_xlfn.IFNA(INDEX(Data!$C:$C,UI!$J10,1),0)</f>
        <v>0</v>
      </c>
      <c r="I10" t="e">
        <f t="shared" si="1"/>
        <v>#N/A</v>
      </c>
      <c r="J10">
        <f>_xlfn.IFNA(MATCH(UI!$C10,Data!$B:$B,0),2)</f>
        <v>2</v>
      </c>
      <c r="K10">
        <f t="shared" si="3"/>
        <v>0</v>
      </c>
      <c r="L10">
        <f t="shared" si="4"/>
        <v>1</v>
      </c>
      <c r="M10" cm="1">
        <f t="array" ref="M10">IF(M$13,INDEX(Data!E:E,UI!$J10,1),1)</f>
        <v>1</v>
      </c>
      <c r="N10" cm="1">
        <f t="array" ref="N10">IF(N$13,INDEX(Data!F:F,UI!$J10,1),1)</f>
        <v>1</v>
      </c>
      <c r="O10" cm="1">
        <f t="array" ref="O10">IF(O$13,INDEX(Data!G:G,UI!$J10,1),1)</f>
        <v>1</v>
      </c>
      <c r="P10" cm="1">
        <f t="array" ref="P10">IF(P$13,INDEX(Data!H:H,UI!$J10,1),1)</f>
        <v>1</v>
      </c>
      <c r="Q10" cm="1">
        <f t="array" ref="Q10">IF(Q$13,INDEX(Data!I:I,UI!$J10,1),1)</f>
        <v>1</v>
      </c>
      <c r="R10" cm="1">
        <f t="array" ref="R10">IF(R$13,INDEX(Data!J:J,UI!$J10,1),1)</f>
        <v>1</v>
      </c>
      <c r="S10" cm="1">
        <f t="array" ref="S10">IF(S$13,INDEX(Data!K:K,UI!$J10,1),1)</f>
        <v>1</v>
      </c>
      <c r="T10" cm="1">
        <f t="array" ref="T10">IF(T$13,INDEX(Data!L:L,UI!$J10,1),1)</f>
        <v>1</v>
      </c>
      <c r="U10" cm="1">
        <f t="array" ref="U10">IF(U$13,INDEX(Data!M:M,UI!$J10,1),1)</f>
        <v>1</v>
      </c>
      <c r="V10" cm="1">
        <f t="array" ref="V10">IF(R$14,INDEX(Data!N:N,UI!$J10,1),1)</f>
        <v>1</v>
      </c>
      <c r="W10" cm="1">
        <f t="array" ref="W10">IF(W$13,INDEX(Data!O:O,UI!$J10,1),1)</f>
        <v>1</v>
      </c>
      <c r="X10">
        <f t="shared" si="5"/>
        <v>0</v>
      </c>
    </row>
    <row r="11" spans="1:24" x14ac:dyDescent="0.2">
      <c r="A11" s="10">
        <v>9</v>
      </c>
      <c r="B11" s="11" t="s">
        <v>1768</v>
      </c>
      <c r="C11" s="11"/>
      <c r="D11" t="str" cm="1">
        <f t="array" ref="D11">_xlfn.IFNA(INDEX(Data!$D:$D,UI!$J11,1),"")</f>
        <v>[None]</v>
      </c>
      <c r="E11" cm="1">
        <f t="array" ref="E11">_xlfn.IFNA(INDEX($K$19:$O$23,I11,K11+1)+K11+1,0)</f>
        <v>0</v>
      </c>
      <c r="F11" t="str">
        <f t="shared" si="2"/>
        <v>[None], 0pts.</v>
      </c>
      <c r="G11">
        <f t="shared" si="6"/>
        <v>0</v>
      </c>
      <c r="H11" cm="1">
        <f t="array" ref="H11">_xlfn.IFNA(INDEX(Data!$C:$C,UI!$J11,1),0)</f>
        <v>0</v>
      </c>
      <c r="I11" t="e">
        <f t="shared" si="1"/>
        <v>#N/A</v>
      </c>
      <c r="J11">
        <f>_xlfn.IFNA(MATCH(UI!$C11,Data!$B:$B,0),2)</f>
        <v>2</v>
      </c>
      <c r="K11">
        <f t="shared" si="3"/>
        <v>0</v>
      </c>
      <c r="L11">
        <f t="shared" si="4"/>
        <v>1</v>
      </c>
      <c r="M11" cm="1">
        <f t="array" ref="M11">IF(M$13,INDEX(Data!E:E,UI!$J11,1),1)</f>
        <v>1</v>
      </c>
      <c r="N11" cm="1">
        <f t="array" ref="N11">IF(N$13,INDEX(Data!F:F,UI!$J11,1),1)</f>
        <v>1</v>
      </c>
      <c r="O11" cm="1">
        <f t="array" ref="O11">IF(O$13,INDEX(Data!G:G,UI!$J11,1),1)</f>
        <v>1</v>
      </c>
      <c r="P11" cm="1">
        <f t="array" ref="P11">IF(P$13,INDEX(Data!H:H,UI!$J11,1),1)</f>
        <v>1</v>
      </c>
      <c r="Q11" cm="1">
        <f t="array" ref="Q11">IF(Q$13,INDEX(Data!I:I,UI!$J11,1),1)</f>
        <v>1</v>
      </c>
      <c r="R11" cm="1">
        <f t="array" ref="R11">IF(R$13,INDEX(Data!J:J,UI!$J11,1),1)</f>
        <v>1</v>
      </c>
      <c r="S11" cm="1">
        <f t="array" ref="S11">IF(S$13,INDEX(Data!K:K,UI!$J11,1),1)</f>
        <v>1</v>
      </c>
      <c r="T11" cm="1">
        <f t="array" ref="T11">IF(T$13,INDEX(Data!L:L,UI!$J11,1),1)</f>
        <v>1</v>
      </c>
      <c r="U11" cm="1">
        <f t="array" ref="U11">IF(U$13,INDEX(Data!M:M,UI!$J11,1),1)</f>
        <v>1</v>
      </c>
      <c r="V11" cm="1">
        <f t="array" ref="V11">IF(R$14,INDEX(Data!N:N,UI!$J11,1),1)</f>
        <v>1</v>
      </c>
      <c r="W11" cm="1">
        <f t="array" ref="W11">IF(W$13,INDEX(Data!O:O,UI!$J11,1),1)</f>
        <v>1</v>
      </c>
      <c r="X11">
        <f t="shared" si="5"/>
        <v>0</v>
      </c>
    </row>
    <row r="12" spans="1:24" ht="8" customHeight="1" x14ac:dyDescent="0.2">
      <c r="A12" s="10"/>
    </row>
    <row r="13" spans="1:24" x14ac:dyDescent="0.2">
      <c r="D13" t="s">
        <v>1775</v>
      </c>
      <c r="E13">
        <f>SUM(E3:E11)</f>
        <v>0</v>
      </c>
      <c r="M13" s="10" t="b">
        <f>D23</f>
        <v>0</v>
      </c>
      <c r="N13" s="10" t="b">
        <f>D21</f>
        <v>0</v>
      </c>
      <c r="O13" s="10" t="b">
        <f>D28</f>
        <v>0</v>
      </c>
      <c r="P13" s="10" t="b">
        <f>D26</f>
        <v>0</v>
      </c>
      <c r="Q13" s="10" t="b">
        <f>OR(D22,D23)</f>
        <v>0</v>
      </c>
      <c r="R13" s="10" t="b">
        <f>OR(D25,D24)</f>
        <v>0</v>
      </c>
      <c r="S13" s="10" t="b">
        <f>D27</f>
        <v>0</v>
      </c>
      <c r="T13" s="10" t="b">
        <f>D19</f>
        <v>0</v>
      </c>
      <c r="U13" s="10" t="b">
        <f>D29</f>
        <v>0</v>
      </c>
      <c r="V13" s="10" t="b">
        <f>D25</f>
        <v>0</v>
      </c>
      <c r="W13" s="10" t="b">
        <f>OR(D21,D20)</f>
        <v>0</v>
      </c>
    </row>
    <row r="14" spans="1:24" x14ac:dyDescent="0.2">
      <c r="D14" t="s">
        <v>1776</v>
      </c>
      <c r="E14">
        <f>MIN(30,SUM(X3:X11)*5)</f>
        <v>5</v>
      </c>
      <c r="R14" s="18"/>
    </row>
    <row r="15" spans="1:24" x14ac:dyDescent="0.2">
      <c r="D15" t="s">
        <v>1777</v>
      </c>
      <c r="E15">
        <f>9-2*COUNTBLANK(C3:C11)</f>
        <v>-9</v>
      </c>
    </row>
    <row r="16" spans="1:24" x14ac:dyDescent="0.2">
      <c r="D16" s="1" t="s">
        <v>1778</v>
      </c>
      <c r="E16" s="1">
        <f>14+SUM(E13:E15)</f>
        <v>10</v>
      </c>
      <c r="F16" s="1"/>
      <c r="H16" s="15" t="s">
        <v>1779</v>
      </c>
      <c r="I16" s="16" t="b">
        <f>E16&gt;=90</f>
        <v>0</v>
      </c>
    </row>
    <row r="18" spans="2:15" x14ac:dyDescent="0.2">
      <c r="K18" s="12">
        <v>0</v>
      </c>
      <c r="L18" s="12">
        <v>1</v>
      </c>
      <c r="M18" s="12">
        <v>2</v>
      </c>
      <c r="N18" s="13">
        <v>3</v>
      </c>
      <c r="O18" s="12">
        <v>4</v>
      </c>
    </row>
    <row r="19" spans="2:15" x14ac:dyDescent="0.2">
      <c r="B19" t="s">
        <v>1750</v>
      </c>
      <c r="C19" t="s">
        <v>1749</v>
      </c>
      <c r="D19" s="11" t="b">
        <v>0</v>
      </c>
      <c r="G19" s="8"/>
      <c r="H19" s="8"/>
      <c r="J19" s="14">
        <v>20</v>
      </c>
      <c r="K19" s="2">
        <v>1</v>
      </c>
      <c r="L19" s="3">
        <v>1</v>
      </c>
      <c r="M19" s="3">
        <v>1</v>
      </c>
      <c r="N19" s="17">
        <v>1</v>
      </c>
      <c r="O19" s="4">
        <v>1</v>
      </c>
    </row>
    <row r="20" spans="2:15" x14ac:dyDescent="0.2">
      <c r="C20" t="s">
        <v>1751</v>
      </c>
      <c r="D20" s="11" t="b">
        <v>0</v>
      </c>
      <c r="G20" s="5" t="s">
        <v>1768</v>
      </c>
      <c r="H20" s="6">
        <v>0</v>
      </c>
      <c r="J20" s="14">
        <v>90</v>
      </c>
      <c r="K20" s="5">
        <v>2</v>
      </c>
      <c r="L20">
        <v>2</v>
      </c>
      <c r="M20">
        <v>2</v>
      </c>
      <c r="N20" s="18">
        <v>2</v>
      </c>
      <c r="O20" s="6">
        <v>2</v>
      </c>
    </row>
    <row r="21" spans="2:15" x14ac:dyDescent="0.2">
      <c r="C21" t="s">
        <v>1752</v>
      </c>
      <c r="D21" s="11" t="b">
        <v>0</v>
      </c>
      <c r="G21" s="5" t="s">
        <v>1746</v>
      </c>
      <c r="H21" s="6">
        <v>1</v>
      </c>
      <c r="J21" s="14">
        <v>200</v>
      </c>
      <c r="K21" s="5">
        <v>3</v>
      </c>
      <c r="L21">
        <v>3</v>
      </c>
      <c r="M21">
        <v>3</v>
      </c>
      <c r="N21" s="18">
        <v>3</v>
      </c>
      <c r="O21" s="6">
        <v>3</v>
      </c>
    </row>
    <row r="22" spans="2:15" x14ac:dyDescent="0.2">
      <c r="B22" t="s">
        <v>1753</v>
      </c>
      <c r="C22" t="s">
        <v>1754</v>
      </c>
      <c r="D22" s="11" t="b">
        <v>0</v>
      </c>
      <c r="G22" s="5" t="s">
        <v>1745</v>
      </c>
      <c r="H22" s="6">
        <v>2</v>
      </c>
      <c r="J22" s="14">
        <v>300</v>
      </c>
      <c r="K22" s="5">
        <v>4</v>
      </c>
      <c r="L22">
        <v>4</v>
      </c>
      <c r="M22">
        <v>3</v>
      </c>
      <c r="N22" s="18">
        <v>3</v>
      </c>
      <c r="O22" s="6">
        <v>3</v>
      </c>
    </row>
    <row r="23" spans="2:15" x14ac:dyDescent="0.2">
      <c r="C23" t="s">
        <v>1755</v>
      </c>
      <c r="D23" s="11" t="b">
        <v>0</v>
      </c>
      <c r="G23" s="7" t="s">
        <v>1747</v>
      </c>
      <c r="H23" s="9">
        <v>4</v>
      </c>
      <c r="J23" s="14">
        <v>400</v>
      </c>
      <c r="K23" s="7">
        <v>5</v>
      </c>
      <c r="L23" s="8">
        <v>5</v>
      </c>
      <c r="M23" s="8">
        <v>3</v>
      </c>
      <c r="N23" s="19">
        <v>3</v>
      </c>
      <c r="O23" s="9">
        <v>3</v>
      </c>
    </row>
    <row r="24" spans="2:15" x14ac:dyDescent="0.2">
      <c r="B24" t="s">
        <v>1756</v>
      </c>
      <c r="C24" t="s">
        <v>1757</v>
      </c>
      <c r="D24" s="11" t="b">
        <v>0</v>
      </c>
    </row>
    <row r="25" spans="2:15" x14ac:dyDescent="0.2">
      <c r="C25" t="s">
        <v>1758</v>
      </c>
      <c r="D25" s="11" t="b">
        <v>0</v>
      </c>
    </row>
    <row r="26" spans="2:15" x14ac:dyDescent="0.2">
      <c r="B26" t="s">
        <v>1759</v>
      </c>
      <c r="C26" t="s">
        <v>1760</v>
      </c>
      <c r="D26" s="11" t="b">
        <v>0</v>
      </c>
    </row>
    <row r="27" spans="2:15" x14ac:dyDescent="0.2">
      <c r="C27" t="s">
        <v>1761</v>
      </c>
      <c r="D27" s="11" t="b">
        <v>0</v>
      </c>
    </row>
    <row r="28" spans="2:15" x14ac:dyDescent="0.2">
      <c r="B28" t="s">
        <v>1764</v>
      </c>
      <c r="C28" t="s">
        <v>1762</v>
      </c>
      <c r="D28" s="11" t="b">
        <v>0</v>
      </c>
    </row>
    <row r="29" spans="2:15" x14ac:dyDescent="0.2">
      <c r="C29" t="s">
        <v>1763</v>
      </c>
      <c r="D29" s="11" t="b">
        <v>0</v>
      </c>
    </row>
    <row r="31" spans="2:15" x14ac:dyDescent="0.2">
      <c r="B31">
        <v>0</v>
      </c>
      <c r="C31" t="s">
        <v>1782</v>
      </c>
    </row>
    <row r="32" spans="2:15" x14ac:dyDescent="0.2">
      <c r="B32">
        <v>60</v>
      </c>
      <c r="C32" t="s">
        <v>1783</v>
      </c>
    </row>
    <row r="33" spans="2:3" x14ac:dyDescent="0.2">
      <c r="B33">
        <v>75</v>
      </c>
      <c r="C33" t="s">
        <v>1784</v>
      </c>
    </row>
    <row r="34" spans="2:3" x14ac:dyDescent="0.2">
      <c r="B34">
        <v>90</v>
      </c>
      <c r="C34" t="s">
        <v>1785</v>
      </c>
    </row>
    <row r="36" spans="2:3" x14ac:dyDescent="0.2">
      <c r="C36" s="1" t="str">
        <f>VLOOKUP(E16,B31:C34,2)</f>
        <v>You come in fourth (50 star tokens).</v>
      </c>
    </row>
    <row r="37" spans="2:3" x14ac:dyDescent="0.2">
      <c r="C37" s="1" t="str">
        <f>IF(E16&lt;90,"You'll need "&amp;(90-E16)&amp;" more points for first place.","")</f>
        <v>You'll need 80 more points for first place.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05B4-FC41-CA43-89C7-12F5E63C9839}">
  <dimension ref="A1:O950"/>
  <sheetViews>
    <sheetView tabSelected="1" workbookViewId="0">
      <selection activeCell="K67" sqref="K67"/>
    </sheetView>
  </sheetViews>
  <sheetFormatPr baseColWidth="10" defaultRowHeight="16" x14ac:dyDescent="0.2"/>
  <cols>
    <col min="2" max="2" width="25.1640625" bestFit="1" customWidth="1"/>
    <col min="3" max="3" width="7.1640625" bestFit="1" customWidth="1"/>
    <col min="4" max="4" width="15.6640625" bestFit="1" customWidth="1"/>
    <col min="5" max="15" width="5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>
        <v>0</v>
      </c>
      <c r="D2" t="s">
        <v>16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">
      <c r="A3" t="s">
        <v>17</v>
      </c>
      <c r="B3" t="s">
        <v>18</v>
      </c>
      <c r="C3">
        <v>20</v>
      </c>
      <c r="D3" t="s">
        <v>16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">
      <c r="A4" t="s">
        <v>19</v>
      </c>
      <c r="B4" t="s">
        <v>20</v>
      </c>
      <c r="C4">
        <v>0</v>
      </c>
      <c r="D4" t="s">
        <v>16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">
      <c r="A5" t="s">
        <v>21</v>
      </c>
      <c r="B5" t="s">
        <v>22</v>
      </c>
      <c r="C5">
        <v>125</v>
      </c>
      <c r="D5" t="s">
        <v>23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1.3</v>
      </c>
      <c r="L5">
        <v>1</v>
      </c>
      <c r="M5">
        <v>1</v>
      </c>
      <c r="N5">
        <v>1</v>
      </c>
      <c r="O5">
        <v>1</v>
      </c>
    </row>
    <row r="6" spans="1:15" x14ac:dyDescent="0.2">
      <c r="A6" t="s">
        <v>24</v>
      </c>
      <c r="B6" t="s">
        <v>25</v>
      </c>
      <c r="C6">
        <v>150</v>
      </c>
      <c r="D6" t="s">
        <v>26</v>
      </c>
      <c r="E6">
        <v>1</v>
      </c>
      <c r="F6">
        <v>1.4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">
      <c r="A7" t="s">
        <v>27</v>
      </c>
      <c r="B7" t="s">
        <v>28</v>
      </c>
      <c r="C7">
        <v>60</v>
      </c>
      <c r="D7" t="s">
        <v>26</v>
      </c>
      <c r="E7">
        <v>1</v>
      </c>
      <c r="F7">
        <v>1.4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">
      <c r="A8" t="s">
        <v>29</v>
      </c>
      <c r="B8" t="s">
        <v>30</v>
      </c>
      <c r="C8">
        <v>1000</v>
      </c>
      <c r="D8" t="s">
        <v>26</v>
      </c>
      <c r="E8">
        <v>1</v>
      </c>
      <c r="F8">
        <v>1.4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">
      <c r="A9" t="s">
        <v>31</v>
      </c>
      <c r="B9" t="s">
        <v>32</v>
      </c>
      <c r="C9">
        <v>240</v>
      </c>
      <c r="D9" t="s">
        <v>26</v>
      </c>
      <c r="E9">
        <v>1</v>
      </c>
      <c r="F9">
        <v>1.4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">
      <c r="A10" t="s">
        <v>33</v>
      </c>
      <c r="B10" t="s">
        <v>34</v>
      </c>
      <c r="C10">
        <v>90</v>
      </c>
      <c r="D10" t="s">
        <v>26</v>
      </c>
      <c r="E10">
        <v>1</v>
      </c>
      <c r="F10">
        <v>1.4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">
      <c r="A11" t="s">
        <v>35</v>
      </c>
      <c r="B11" t="s">
        <v>36</v>
      </c>
      <c r="C11">
        <v>150</v>
      </c>
      <c r="D11" t="s">
        <v>26</v>
      </c>
      <c r="E11">
        <v>1</v>
      </c>
      <c r="F11">
        <v>1.4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">
      <c r="A12" t="s">
        <v>37</v>
      </c>
      <c r="B12" t="s">
        <v>38</v>
      </c>
      <c r="C12">
        <v>60</v>
      </c>
      <c r="D12" t="s">
        <v>26</v>
      </c>
      <c r="E12">
        <v>1</v>
      </c>
      <c r="F12">
        <v>1.4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">
      <c r="A13" t="s">
        <v>39</v>
      </c>
      <c r="B13" t="s">
        <v>40</v>
      </c>
      <c r="C13">
        <v>400</v>
      </c>
      <c r="D13" t="s">
        <v>26</v>
      </c>
      <c r="E13">
        <v>1</v>
      </c>
      <c r="F13">
        <v>1.4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">
      <c r="A14" t="s">
        <v>41</v>
      </c>
      <c r="B14" t="s">
        <v>42</v>
      </c>
      <c r="C14">
        <v>100</v>
      </c>
      <c r="D14" t="s">
        <v>26</v>
      </c>
      <c r="E14">
        <v>1</v>
      </c>
      <c r="F14">
        <v>1.4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">
      <c r="A15" t="s">
        <v>1786</v>
      </c>
      <c r="B15" t="s">
        <v>1787</v>
      </c>
      <c r="C15">
        <v>100</v>
      </c>
      <c r="D15" t="s">
        <v>26</v>
      </c>
      <c r="E15">
        <v>1</v>
      </c>
      <c r="F15">
        <v>1.4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">
      <c r="A16" t="s">
        <v>43</v>
      </c>
      <c r="B16" t="s">
        <v>44</v>
      </c>
      <c r="C16">
        <v>100</v>
      </c>
      <c r="D16" t="s">
        <v>26</v>
      </c>
      <c r="E16">
        <v>1</v>
      </c>
      <c r="F16">
        <v>1.4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">
      <c r="A17" t="s">
        <v>45</v>
      </c>
      <c r="B17" t="s">
        <v>46</v>
      </c>
      <c r="C17">
        <v>200</v>
      </c>
      <c r="D17" t="s">
        <v>26</v>
      </c>
      <c r="E17">
        <v>1</v>
      </c>
      <c r="F17">
        <v>1.4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">
      <c r="A18" t="s">
        <v>47</v>
      </c>
      <c r="B18" t="s">
        <v>48</v>
      </c>
      <c r="C18">
        <v>150</v>
      </c>
      <c r="D18" t="s">
        <v>26</v>
      </c>
      <c r="E18">
        <v>1</v>
      </c>
      <c r="F18">
        <v>1.4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">
      <c r="A19" t="s">
        <v>49</v>
      </c>
      <c r="B19" t="s">
        <v>50</v>
      </c>
      <c r="C19">
        <v>200</v>
      </c>
      <c r="D19" t="s">
        <v>26</v>
      </c>
      <c r="E19">
        <v>1</v>
      </c>
      <c r="F19">
        <v>1.4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">
      <c r="A20" t="s">
        <v>51</v>
      </c>
      <c r="B20" t="s">
        <v>52</v>
      </c>
      <c r="C20">
        <v>170</v>
      </c>
      <c r="D20" t="s">
        <v>26</v>
      </c>
      <c r="E20">
        <v>1</v>
      </c>
      <c r="F20">
        <v>1.4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">
      <c r="A21" t="s">
        <v>53</v>
      </c>
      <c r="B21" t="s">
        <v>54</v>
      </c>
      <c r="C21">
        <v>200</v>
      </c>
      <c r="D21" t="s">
        <v>26</v>
      </c>
      <c r="E21">
        <v>1</v>
      </c>
      <c r="F21">
        <v>1.4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">
      <c r="A22" t="s">
        <v>55</v>
      </c>
      <c r="B22" t="s">
        <v>56</v>
      </c>
      <c r="C22">
        <v>90</v>
      </c>
      <c r="D22" t="s">
        <v>26</v>
      </c>
      <c r="E22">
        <v>1</v>
      </c>
      <c r="F22">
        <v>1.4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">
      <c r="A23" t="s">
        <v>1788</v>
      </c>
      <c r="B23" t="s">
        <v>1789</v>
      </c>
      <c r="C23">
        <v>300</v>
      </c>
      <c r="D23" t="s">
        <v>26</v>
      </c>
      <c r="E23">
        <v>1</v>
      </c>
      <c r="F23">
        <v>1.4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">
      <c r="A24" t="s">
        <v>57</v>
      </c>
      <c r="B24" t="s">
        <v>58</v>
      </c>
      <c r="C24">
        <v>160</v>
      </c>
      <c r="D24" t="s">
        <v>26</v>
      </c>
      <c r="E24">
        <v>1</v>
      </c>
      <c r="F24">
        <v>1.4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">
      <c r="A25" t="s">
        <v>59</v>
      </c>
      <c r="B25" t="s">
        <v>60</v>
      </c>
      <c r="C25">
        <v>60</v>
      </c>
      <c r="D25" t="s">
        <v>26</v>
      </c>
      <c r="E25">
        <v>1</v>
      </c>
      <c r="F25">
        <v>1.4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">
      <c r="A26" t="s">
        <v>61</v>
      </c>
      <c r="B26" t="s">
        <v>62</v>
      </c>
      <c r="C26">
        <v>1000</v>
      </c>
      <c r="D26" t="s">
        <v>26</v>
      </c>
      <c r="E26">
        <v>1</v>
      </c>
      <c r="F26">
        <v>1.4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">
      <c r="A27" t="s">
        <v>63</v>
      </c>
      <c r="B27" t="s">
        <v>64</v>
      </c>
      <c r="C27">
        <v>200</v>
      </c>
      <c r="D27" t="s">
        <v>26</v>
      </c>
      <c r="E27">
        <v>1</v>
      </c>
      <c r="F27">
        <v>1.4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">
      <c r="A28" t="s">
        <v>65</v>
      </c>
      <c r="B28" t="s">
        <v>66</v>
      </c>
      <c r="C28">
        <v>1400</v>
      </c>
      <c r="D28" t="s">
        <v>26</v>
      </c>
      <c r="E28">
        <v>1</v>
      </c>
      <c r="F28">
        <v>1.4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">
      <c r="A29" t="s">
        <v>67</v>
      </c>
      <c r="B29" t="s">
        <v>68</v>
      </c>
      <c r="C29">
        <v>240</v>
      </c>
      <c r="D29" t="s">
        <v>26</v>
      </c>
      <c r="E29">
        <v>1</v>
      </c>
      <c r="F29">
        <v>1.4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">
      <c r="A30" t="s">
        <v>69</v>
      </c>
      <c r="B30" t="s">
        <v>70</v>
      </c>
      <c r="C30">
        <v>200</v>
      </c>
      <c r="D30" t="s">
        <v>26</v>
      </c>
      <c r="E30">
        <v>1</v>
      </c>
      <c r="F30">
        <v>1.4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">
      <c r="A31" t="s">
        <v>71</v>
      </c>
      <c r="B31" t="s">
        <v>72</v>
      </c>
      <c r="C31">
        <v>240</v>
      </c>
      <c r="D31" t="s">
        <v>26</v>
      </c>
      <c r="E31">
        <v>1</v>
      </c>
      <c r="F31">
        <v>1.4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">
      <c r="A32" t="s">
        <v>73</v>
      </c>
      <c r="B32" t="s">
        <v>74</v>
      </c>
      <c r="C32">
        <v>300</v>
      </c>
      <c r="D32" t="s">
        <v>26</v>
      </c>
      <c r="E32">
        <v>1</v>
      </c>
      <c r="F32">
        <v>1.4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">
      <c r="A33" t="s">
        <v>75</v>
      </c>
      <c r="B33" t="s">
        <v>76</v>
      </c>
      <c r="C33">
        <v>200</v>
      </c>
      <c r="D33" t="s">
        <v>26</v>
      </c>
      <c r="E33">
        <v>1</v>
      </c>
      <c r="F33">
        <v>1.4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">
      <c r="A34" t="s">
        <v>77</v>
      </c>
      <c r="B34" t="s">
        <v>78</v>
      </c>
      <c r="C34">
        <v>60</v>
      </c>
      <c r="D34" t="s">
        <v>26</v>
      </c>
      <c r="E34">
        <v>1</v>
      </c>
      <c r="F34">
        <v>1.4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">
      <c r="A35" t="s">
        <v>79</v>
      </c>
      <c r="B35" t="s">
        <v>80</v>
      </c>
      <c r="C35">
        <v>300</v>
      </c>
      <c r="D35" t="s">
        <v>26</v>
      </c>
      <c r="E35">
        <v>1</v>
      </c>
      <c r="F35">
        <v>1.4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">
      <c r="A36" t="s">
        <v>81</v>
      </c>
      <c r="B36" t="s">
        <v>82</v>
      </c>
      <c r="C36">
        <v>80</v>
      </c>
      <c r="D36" t="s">
        <v>26</v>
      </c>
      <c r="E36">
        <v>1</v>
      </c>
      <c r="F36">
        <v>1.4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">
      <c r="A37" t="s">
        <v>83</v>
      </c>
      <c r="B37" t="s">
        <v>84</v>
      </c>
      <c r="C37">
        <v>110</v>
      </c>
      <c r="D37" t="s">
        <v>26</v>
      </c>
      <c r="E37">
        <v>1</v>
      </c>
      <c r="F37">
        <v>1.4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">
      <c r="A38" t="s">
        <v>85</v>
      </c>
      <c r="B38" t="s">
        <v>86</v>
      </c>
      <c r="C38">
        <v>40</v>
      </c>
      <c r="D38" t="s">
        <v>26</v>
      </c>
      <c r="E38">
        <v>1</v>
      </c>
      <c r="F38">
        <v>1.4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">
      <c r="A39" t="s">
        <v>87</v>
      </c>
      <c r="B39" t="s">
        <v>88</v>
      </c>
      <c r="C39">
        <v>200</v>
      </c>
      <c r="D39" t="s">
        <v>26</v>
      </c>
      <c r="E39">
        <v>1</v>
      </c>
      <c r="F39">
        <v>1.4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">
      <c r="A40" t="s">
        <v>89</v>
      </c>
      <c r="B40" t="s">
        <v>90</v>
      </c>
      <c r="C40">
        <v>400</v>
      </c>
      <c r="D40" t="s">
        <v>26</v>
      </c>
      <c r="E40">
        <v>1</v>
      </c>
      <c r="F40">
        <v>1.4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">
      <c r="A41" t="s">
        <v>91</v>
      </c>
      <c r="B41" t="s">
        <v>92</v>
      </c>
      <c r="C41">
        <v>130</v>
      </c>
      <c r="D41" t="s">
        <v>26</v>
      </c>
      <c r="E41">
        <v>1</v>
      </c>
      <c r="F41">
        <v>1.4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">
      <c r="A42" t="s">
        <v>93</v>
      </c>
      <c r="B42" t="s">
        <v>94</v>
      </c>
      <c r="C42">
        <v>150</v>
      </c>
      <c r="D42" t="s">
        <v>26</v>
      </c>
      <c r="E42">
        <v>1</v>
      </c>
      <c r="F42">
        <v>1.4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95</v>
      </c>
      <c r="B43" t="s">
        <v>96</v>
      </c>
      <c r="C43">
        <v>100</v>
      </c>
      <c r="D43" t="s">
        <v>26</v>
      </c>
      <c r="E43">
        <v>1</v>
      </c>
      <c r="F43">
        <v>1.4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97</v>
      </c>
      <c r="B44" t="s">
        <v>98</v>
      </c>
      <c r="C44">
        <v>100</v>
      </c>
      <c r="D44" t="s">
        <v>26</v>
      </c>
      <c r="E44">
        <v>1</v>
      </c>
      <c r="F44">
        <v>1.4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">
      <c r="A45" t="s">
        <v>99</v>
      </c>
      <c r="B45" t="s">
        <v>100</v>
      </c>
      <c r="C45">
        <v>150</v>
      </c>
      <c r="D45" t="s">
        <v>26</v>
      </c>
      <c r="E45">
        <v>1</v>
      </c>
      <c r="F45">
        <v>1.4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">
      <c r="A46" t="s">
        <v>101</v>
      </c>
      <c r="B46" t="s">
        <v>102</v>
      </c>
      <c r="C46">
        <v>150</v>
      </c>
      <c r="D46" t="s">
        <v>26</v>
      </c>
      <c r="E46">
        <v>1</v>
      </c>
      <c r="F46">
        <v>1.4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">
      <c r="A47" t="s">
        <v>103</v>
      </c>
      <c r="B47" t="s">
        <v>104</v>
      </c>
      <c r="C47">
        <v>80</v>
      </c>
      <c r="D47" t="s">
        <v>26</v>
      </c>
      <c r="E47">
        <v>1</v>
      </c>
      <c r="F47">
        <v>1.4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">
      <c r="A48" t="s">
        <v>105</v>
      </c>
      <c r="B48" t="s">
        <v>106</v>
      </c>
      <c r="C48">
        <v>300</v>
      </c>
      <c r="D48" t="s">
        <v>26</v>
      </c>
      <c r="E48">
        <v>1</v>
      </c>
      <c r="F48">
        <v>1.4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">
      <c r="A49" t="s">
        <v>107</v>
      </c>
      <c r="B49" t="s">
        <v>108</v>
      </c>
      <c r="C49">
        <v>150</v>
      </c>
      <c r="D49" t="s">
        <v>26</v>
      </c>
      <c r="E49">
        <v>1</v>
      </c>
      <c r="F49">
        <v>1.4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">
      <c r="A50" t="s">
        <v>109</v>
      </c>
      <c r="B50" t="s">
        <v>110</v>
      </c>
      <c r="C50">
        <v>120</v>
      </c>
      <c r="D50" t="s">
        <v>26</v>
      </c>
      <c r="E50">
        <v>1</v>
      </c>
      <c r="F50">
        <v>1.4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">
      <c r="A51" t="s">
        <v>111</v>
      </c>
      <c r="B51" t="s">
        <v>112</v>
      </c>
      <c r="C51">
        <v>120</v>
      </c>
      <c r="D51" t="s">
        <v>26</v>
      </c>
      <c r="E51">
        <v>1</v>
      </c>
      <c r="F51">
        <v>1.4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">
      <c r="A52" t="s">
        <v>113</v>
      </c>
      <c r="B52" t="s">
        <v>114</v>
      </c>
      <c r="C52">
        <v>200</v>
      </c>
      <c r="D52" t="s">
        <v>26</v>
      </c>
      <c r="E52">
        <v>1</v>
      </c>
      <c r="F52">
        <v>1.4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">
      <c r="A53" t="s">
        <v>115</v>
      </c>
      <c r="B53" t="s">
        <v>116</v>
      </c>
      <c r="C53">
        <v>100</v>
      </c>
      <c r="D53" t="s">
        <v>26</v>
      </c>
      <c r="E53">
        <v>1</v>
      </c>
      <c r="F53">
        <v>1.4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">
      <c r="A54" t="s">
        <v>117</v>
      </c>
      <c r="B54" t="s">
        <v>118</v>
      </c>
      <c r="C54">
        <v>130</v>
      </c>
      <c r="D54" t="s">
        <v>26</v>
      </c>
      <c r="E54">
        <v>1</v>
      </c>
      <c r="F54">
        <v>1.4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">
      <c r="A55" t="s">
        <v>119</v>
      </c>
      <c r="B55" t="s">
        <v>120</v>
      </c>
      <c r="C55">
        <v>440</v>
      </c>
      <c r="D55" t="s">
        <v>26</v>
      </c>
      <c r="E55">
        <v>1</v>
      </c>
      <c r="F55">
        <v>1.4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">
      <c r="A56" t="s">
        <v>121</v>
      </c>
      <c r="B56" t="s">
        <v>122</v>
      </c>
      <c r="C56">
        <v>160</v>
      </c>
      <c r="D56" t="s">
        <v>26</v>
      </c>
      <c r="E56">
        <v>1</v>
      </c>
      <c r="F56">
        <v>1.4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">
      <c r="A57" t="s">
        <v>123</v>
      </c>
      <c r="B57" t="s">
        <v>124</v>
      </c>
      <c r="C57">
        <v>360</v>
      </c>
      <c r="D57" t="s">
        <v>26</v>
      </c>
      <c r="E57">
        <v>1</v>
      </c>
      <c r="F57">
        <v>1.4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">
      <c r="A58" t="s">
        <v>125</v>
      </c>
      <c r="B58" t="s">
        <v>126</v>
      </c>
      <c r="C58">
        <v>600</v>
      </c>
      <c r="D58" t="s">
        <v>26</v>
      </c>
      <c r="E58">
        <v>1</v>
      </c>
      <c r="F58">
        <v>1.4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">
      <c r="A59" t="s">
        <v>127</v>
      </c>
      <c r="B59" t="s">
        <v>128</v>
      </c>
      <c r="C59">
        <v>60</v>
      </c>
      <c r="D59" t="s">
        <v>26</v>
      </c>
      <c r="E59">
        <v>1</v>
      </c>
      <c r="F59">
        <v>1.4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">
      <c r="A60" t="s">
        <v>129</v>
      </c>
      <c r="B60" t="s">
        <v>130</v>
      </c>
      <c r="C60">
        <v>500</v>
      </c>
      <c r="D60" t="s">
        <v>26</v>
      </c>
      <c r="E60">
        <v>1</v>
      </c>
      <c r="F60">
        <v>1.4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">
      <c r="A61" t="s">
        <v>131</v>
      </c>
      <c r="B61" t="s">
        <v>132</v>
      </c>
      <c r="C61">
        <v>300</v>
      </c>
      <c r="D61" t="s">
        <v>26</v>
      </c>
      <c r="E61">
        <v>1</v>
      </c>
      <c r="F61">
        <v>1.4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">
      <c r="A62" t="s">
        <v>133</v>
      </c>
      <c r="B62" t="s">
        <v>134</v>
      </c>
      <c r="C62">
        <v>150</v>
      </c>
      <c r="D62" t="s">
        <v>26</v>
      </c>
      <c r="E62">
        <v>1</v>
      </c>
      <c r="F62">
        <v>1.4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">
      <c r="A63" t="s">
        <v>135</v>
      </c>
      <c r="B63" t="s">
        <v>136</v>
      </c>
      <c r="C63">
        <v>200</v>
      </c>
      <c r="D63" t="s">
        <v>26</v>
      </c>
      <c r="E63">
        <v>1</v>
      </c>
      <c r="F63">
        <v>1.4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">
      <c r="A64" t="s">
        <v>137</v>
      </c>
      <c r="B64" t="s">
        <v>138</v>
      </c>
      <c r="C64">
        <v>300</v>
      </c>
      <c r="D64" t="s">
        <v>26</v>
      </c>
      <c r="E64">
        <v>1</v>
      </c>
      <c r="F64">
        <v>1.4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">
      <c r="A65" t="s">
        <v>139</v>
      </c>
      <c r="B65" t="s">
        <v>140</v>
      </c>
      <c r="C65">
        <v>210</v>
      </c>
      <c r="D65" t="s">
        <v>26</v>
      </c>
      <c r="E65">
        <v>1</v>
      </c>
      <c r="F65">
        <v>1.4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">
      <c r="A66" t="s">
        <v>141</v>
      </c>
      <c r="B66" t="s">
        <v>142</v>
      </c>
      <c r="C66">
        <v>150</v>
      </c>
      <c r="D66" t="s">
        <v>26</v>
      </c>
      <c r="E66">
        <v>1</v>
      </c>
      <c r="F66">
        <v>1.4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">
      <c r="A67" t="s">
        <v>143</v>
      </c>
      <c r="B67" t="s">
        <v>144</v>
      </c>
      <c r="C67">
        <v>150</v>
      </c>
      <c r="D67" t="s">
        <v>23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1.3</v>
      </c>
      <c r="L67">
        <v>1</v>
      </c>
      <c r="M67">
        <v>1</v>
      </c>
      <c r="N67">
        <v>1</v>
      </c>
      <c r="O67">
        <v>1</v>
      </c>
    </row>
    <row r="68" spans="1:15" x14ac:dyDescent="0.2">
      <c r="A68" t="s">
        <v>145</v>
      </c>
      <c r="B68" t="s">
        <v>146</v>
      </c>
      <c r="C68">
        <v>75</v>
      </c>
      <c r="D68" t="s">
        <v>147</v>
      </c>
      <c r="E68">
        <v>1.5</v>
      </c>
      <c r="F68">
        <v>1</v>
      </c>
      <c r="G68">
        <v>1</v>
      </c>
      <c r="H68">
        <v>1</v>
      </c>
      <c r="I68">
        <v>1.25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">
      <c r="A69" t="s">
        <v>148</v>
      </c>
      <c r="B69" t="s">
        <v>149</v>
      </c>
      <c r="C69">
        <v>112</v>
      </c>
      <c r="D69" t="s">
        <v>16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">
      <c r="A70" t="s">
        <v>150</v>
      </c>
      <c r="B70" t="s">
        <v>151</v>
      </c>
      <c r="C70">
        <v>100</v>
      </c>
      <c r="D70" t="s">
        <v>152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">
      <c r="A71" t="s">
        <v>153</v>
      </c>
      <c r="B71" t="s">
        <v>154</v>
      </c>
      <c r="C71">
        <v>150</v>
      </c>
      <c r="D71" t="s">
        <v>155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1.2</v>
      </c>
    </row>
    <row r="72" spans="1:15" x14ac:dyDescent="0.2">
      <c r="A72" t="s">
        <v>156</v>
      </c>
      <c r="B72" t="s">
        <v>157</v>
      </c>
      <c r="C72">
        <v>350</v>
      </c>
      <c r="D72" t="s">
        <v>26</v>
      </c>
      <c r="E72">
        <v>1</v>
      </c>
      <c r="F72">
        <v>1.4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">
      <c r="A73" t="s">
        <v>158</v>
      </c>
      <c r="B73" t="s">
        <v>159</v>
      </c>
      <c r="C73">
        <v>35</v>
      </c>
      <c r="D73" t="s">
        <v>16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">
      <c r="A74" t="s">
        <v>160</v>
      </c>
      <c r="B74" t="s">
        <v>161</v>
      </c>
      <c r="C74">
        <v>100</v>
      </c>
      <c r="D74" t="s">
        <v>23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1.3</v>
      </c>
      <c r="L74">
        <v>1</v>
      </c>
      <c r="M74">
        <v>1</v>
      </c>
      <c r="N74">
        <v>1</v>
      </c>
      <c r="O74">
        <v>1</v>
      </c>
    </row>
    <row r="75" spans="1:15" x14ac:dyDescent="0.2">
      <c r="A75" t="s">
        <v>162</v>
      </c>
      <c r="B75" t="s">
        <v>163</v>
      </c>
      <c r="C75">
        <v>200</v>
      </c>
      <c r="D75" t="s">
        <v>16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">
      <c r="A76" t="s">
        <v>164</v>
      </c>
      <c r="B76" t="s">
        <v>165</v>
      </c>
      <c r="C76">
        <v>150</v>
      </c>
      <c r="D76" t="s">
        <v>16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">
      <c r="A77" t="s">
        <v>166</v>
      </c>
      <c r="B77" t="s">
        <v>167</v>
      </c>
      <c r="C77">
        <v>100</v>
      </c>
      <c r="D77" t="s">
        <v>16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">
      <c r="A78" t="s">
        <v>168</v>
      </c>
      <c r="B78" t="s">
        <v>169</v>
      </c>
      <c r="C78">
        <v>30</v>
      </c>
      <c r="D78" t="s">
        <v>147</v>
      </c>
      <c r="E78">
        <v>1.5</v>
      </c>
      <c r="F78">
        <v>1</v>
      </c>
      <c r="G78">
        <v>1</v>
      </c>
      <c r="H78">
        <v>1</v>
      </c>
      <c r="I78">
        <v>1.25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">
      <c r="A79" t="s">
        <v>170</v>
      </c>
      <c r="B79" t="s">
        <v>171</v>
      </c>
      <c r="C79">
        <v>45</v>
      </c>
      <c r="D79" t="s">
        <v>16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">
      <c r="A80" t="s">
        <v>172</v>
      </c>
      <c r="B80" t="s">
        <v>173</v>
      </c>
      <c r="C80">
        <v>60</v>
      </c>
      <c r="D80" t="s">
        <v>16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">
      <c r="A81" t="s">
        <v>174</v>
      </c>
      <c r="B81" t="s">
        <v>175</v>
      </c>
      <c r="C81">
        <v>100</v>
      </c>
      <c r="D81" t="s">
        <v>16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">
      <c r="A82" t="s">
        <v>176</v>
      </c>
      <c r="B82" t="s">
        <v>177</v>
      </c>
      <c r="C82">
        <v>550</v>
      </c>
      <c r="D82" t="s">
        <v>178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1.2</v>
      </c>
    </row>
    <row r="83" spans="1:15" x14ac:dyDescent="0.2">
      <c r="A83" t="s">
        <v>179</v>
      </c>
      <c r="B83" t="s">
        <v>180</v>
      </c>
      <c r="C83">
        <v>1150</v>
      </c>
      <c r="D83" t="s">
        <v>26</v>
      </c>
      <c r="E83">
        <v>1</v>
      </c>
      <c r="F83">
        <v>1.4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">
      <c r="A84" t="s">
        <v>181</v>
      </c>
      <c r="B84" t="s">
        <v>182</v>
      </c>
      <c r="C84">
        <v>1650</v>
      </c>
      <c r="D84" t="s">
        <v>26</v>
      </c>
      <c r="E84">
        <v>1</v>
      </c>
      <c r="F84">
        <v>1.4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">
      <c r="A85" t="s">
        <v>183</v>
      </c>
      <c r="B85" t="s">
        <v>184</v>
      </c>
      <c r="C85">
        <v>5</v>
      </c>
      <c r="D85" t="s">
        <v>16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">
      <c r="A86" t="s">
        <v>185</v>
      </c>
      <c r="B86" t="s">
        <v>186</v>
      </c>
      <c r="C86">
        <v>30</v>
      </c>
      <c r="D86" t="s">
        <v>16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">
      <c r="A87" t="s">
        <v>187</v>
      </c>
      <c r="B87" t="s">
        <v>188</v>
      </c>
      <c r="C87">
        <v>100</v>
      </c>
      <c r="D87" t="s">
        <v>16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">
      <c r="A88" t="s">
        <v>189</v>
      </c>
      <c r="B88" t="s">
        <v>190</v>
      </c>
      <c r="C88">
        <v>900</v>
      </c>
      <c r="D88" t="s">
        <v>147</v>
      </c>
      <c r="E88">
        <v>1.5</v>
      </c>
      <c r="F88">
        <v>1</v>
      </c>
      <c r="G88">
        <v>1</v>
      </c>
      <c r="H88">
        <v>1</v>
      </c>
      <c r="I88">
        <v>1.25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">
      <c r="A89" t="s">
        <v>1790</v>
      </c>
      <c r="B89" t="s">
        <v>1791</v>
      </c>
      <c r="C89">
        <v>2000</v>
      </c>
      <c r="D89" t="s">
        <v>16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">
      <c r="A90" t="s">
        <v>191</v>
      </c>
      <c r="B90" t="s">
        <v>192</v>
      </c>
      <c r="C90">
        <v>100</v>
      </c>
      <c r="D90" t="s">
        <v>178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1.2</v>
      </c>
    </row>
    <row r="91" spans="1:15" x14ac:dyDescent="0.2">
      <c r="A91" t="s">
        <v>193</v>
      </c>
      <c r="B91" t="s">
        <v>194</v>
      </c>
      <c r="C91">
        <v>250</v>
      </c>
      <c r="D91" t="s">
        <v>26</v>
      </c>
      <c r="E91">
        <v>1</v>
      </c>
      <c r="F91">
        <v>1.4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">
      <c r="A92" t="s">
        <v>195</v>
      </c>
      <c r="B92" t="s">
        <v>196</v>
      </c>
      <c r="C92">
        <v>1000</v>
      </c>
      <c r="D92" t="s">
        <v>16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">
      <c r="A93" t="s">
        <v>197</v>
      </c>
      <c r="B93" t="s">
        <v>198</v>
      </c>
      <c r="C93">
        <v>300</v>
      </c>
      <c r="D93" t="s">
        <v>26</v>
      </c>
      <c r="E93">
        <v>1</v>
      </c>
      <c r="F93">
        <v>1.4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">
      <c r="A94" t="s">
        <v>199</v>
      </c>
      <c r="B94" t="s">
        <v>200</v>
      </c>
      <c r="C94">
        <v>50</v>
      </c>
      <c r="D94" t="s">
        <v>178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1.2</v>
      </c>
    </row>
    <row r="95" spans="1:15" x14ac:dyDescent="0.2">
      <c r="A95" t="s">
        <v>201</v>
      </c>
      <c r="B95" t="s">
        <v>202</v>
      </c>
      <c r="C95">
        <v>150</v>
      </c>
      <c r="D95" t="s">
        <v>26</v>
      </c>
      <c r="E95">
        <v>1</v>
      </c>
      <c r="F95">
        <v>1.4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">
      <c r="A96" t="s">
        <v>203</v>
      </c>
      <c r="B96" t="s">
        <v>204</v>
      </c>
      <c r="C96">
        <v>500</v>
      </c>
      <c r="D96" t="s">
        <v>16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">
      <c r="A97" t="s">
        <v>205</v>
      </c>
      <c r="B97" t="s">
        <v>206</v>
      </c>
      <c r="C97">
        <v>150</v>
      </c>
      <c r="D97" t="s">
        <v>26</v>
      </c>
      <c r="E97">
        <v>1</v>
      </c>
      <c r="F97">
        <v>1.4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">
      <c r="A98" t="s">
        <v>207</v>
      </c>
      <c r="B98" t="s">
        <v>208</v>
      </c>
      <c r="C98">
        <v>180</v>
      </c>
      <c r="D98" t="s">
        <v>23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1.3</v>
      </c>
      <c r="L98">
        <v>1</v>
      </c>
      <c r="M98">
        <v>1</v>
      </c>
      <c r="N98">
        <v>1</v>
      </c>
      <c r="O98">
        <v>1</v>
      </c>
    </row>
    <row r="99" spans="1:15" x14ac:dyDescent="0.2">
      <c r="A99" t="s">
        <v>209</v>
      </c>
      <c r="B99" t="s">
        <v>210</v>
      </c>
      <c r="C99">
        <v>400</v>
      </c>
      <c r="D99" t="s">
        <v>16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">
      <c r="A100" t="s">
        <v>211</v>
      </c>
      <c r="B100" t="s">
        <v>212</v>
      </c>
      <c r="C100">
        <v>0</v>
      </c>
      <c r="D100" t="s">
        <v>16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">
      <c r="A101" t="s">
        <v>213</v>
      </c>
      <c r="B101" t="s">
        <v>214</v>
      </c>
      <c r="C101">
        <v>40</v>
      </c>
      <c r="D101" t="s">
        <v>16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">
      <c r="A102" t="s">
        <v>215</v>
      </c>
      <c r="B102" t="s">
        <v>216</v>
      </c>
      <c r="C102">
        <v>160</v>
      </c>
      <c r="D102" t="s">
        <v>155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1.2</v>
      </c>
    </row>
    <row r="103" spans="1:15" x14ac:dyDescent="0.2">
      <c r="A103" t="s">
        <v>217</v>
      </c>
      <c r="B103" t="s">
        <v>218</v>
      </c>
      <c r="C103">
        <v>210</v>
      </c>
      <c r="D103" t="s">
        <v>152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">
      <c r="A104" t="s">
        <v>219</v>
      </c>
      <c r="B104" t="s">
        <v>220</v>
      </c>
      <c r="C104">
        <v>370</v>
      </c>
      <c r="D104" t="s">
        <v>26</v>
      </c>
      <c r="E104">
        <v>1</v>
      </c>
      <c r="F104">
        <v>1.4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">
      <c r="A105" t="s">
        <v>221</v>
      </c>
      <c r="B105" t="s">
        <v>222</v>
      </c>
      <c r="C105">
        <v>15</v>
      </c>
      <c r="D105" t="s">
        <v>16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">
      <c r="A106" t="s">
        <v>223</v>
      </c>
      <c r="B106" t="s">
        <v>224</v>
      </c>
      <c r="C106">
        <v>0</v>
      </c>
      <c r="D106" t="s">
        <v>16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">
      <c r="A107" t="s">
        <v>225</v>
      </c>
      <c r="B107" t="s">
        <v>226</v>
      </c>
      <c r="C107">
        <v>0</v>
      </c>
      <c r="D107" t="s">
        <v>16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">
      <c r="A108" t="s">
        <v>227</v>
      </c>
      <c r="B108" t="s">
        <v>228</v>
      </c>
      <c r="C108">
        <v>350</v>
      </c>
      <c r="D108" t="s">
        <v>152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">
      <c r="A109" t="s">
        <v>229</v>
      </c>
      <c r="B109" t="s">
        <v>230</v>
      </c>
      <c r="C109">
        <v>1</v>
      </c>
      <c r="D109" t="s">
        <v>16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">
      <c r="A110" t="s">
        <v>1792</v>
      </c>
      <c r="B110" t="s">
        <v>1793</v>
      </c>
      <c r="C110">
        <v>500</v>
      </c>
      <c r="D110" t="s">
        <v>16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">
      <c r="A111" t="s">
        <v>231</v>
      </c>
      <c r="B111" t="s">
        <v>232</v>
      </c>
      <c r="C111">
        <v>100</v>
      </c>
      <c r="D111" t="s">
        <v>152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">
      <c r="A112" t="s">
        <v>233</v>
      </c>
      <c r="B112" t="s">
        <v>234</v>
      </c>
      <c r="C112">
        <v>150</v>
      </c>
      <c r="D112" t="s">
        <v>178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1.2</v>
      </c>
    </row>
    <row r="113" spans="1:15" x14ac:dyDescent="0.2">
      <c r="A113" t="s">
        <v>235</v>
      </c>
      <c r="B113" t="s">
        <v>236</v>
      </c>
      <c r="C113">
        <v>350</v>
      </c>
      <c r="D113" t="s">
        <v>26</v>
      </c>
      <c r="E113">
        <v>1</v>
      </c>
      <c r="F113">
        <v>1.4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">
      <c r="A114" t="s">
        <v>237</v>
      </c>
      <c r="B114" t="s">
        <v>238</v>
      </c>
      <c r="C114">
        <v>260</v>
      </c>
      <c r="D114" t="s">
        <v>152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">
      <c r="A115" t="s">
        <v>239</v>
      </c>
      <c r="B115" t="s">
        <v>240</v>
      </c>
      <c r="C115">
        <v>850</v>
      </c>
      <c r="D115" t="s">
        <v>16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">
      <c r="A116" t="s">
        <v>241</v>
      </c>
      <c r="B116" t="s">
        <v>242</v>
      </c>
      <c r="C116">
        <v>450</v>
      </c>
      <c r="D116" t="s">
        <v>26</v>
      </c>
      <c r="E116">
        <v>1</v>
      </c>
      <c r="F116">
        <v>1.4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">
      <c r="A117" t="s">
        <v>243</v>
      </c>
      <c r="B117" t="s">
        <v>244</v>
      </c>
      <c r="C117">
        <v>500</v>
      </c>
      <c r="D117" t="s">
        <v>16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">
      <c r="A118" t="s">
        <v>245</v>
      </c>
      <c r="B118" t="s">
        <v>246</v>
      </c>
      <c r="C118">
        <v>50</v>
      </c>
      <c r="D118" t="s">
        <v>23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1.3</v>
      </c>
      <c r="L118">
        <v>1</v>
      </c>
      <c r="M118">
        <v>1</v>
      </c>
      <c r="N118">
        <v>1</v>
      </c>
      <c r="O118">
        <v>1</v>
      </c>
    </row>
    <row r="119" spans="1:15" x14ac:dyDescent="0.2">
      <c r="A119" t="s">
        <v>247</v>
      </c>
      <c r="B119" t="s">
        <v>248</v>
      </c>
      <c r="C119">
        <v>175</v>
      </c>
      <c r="D119" t="s">
        <v>23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1.3</v>
      </c>
      <c r="L119">
        <v>1</v>
      </c>
      <c r="M119">
        <v>1</v>
      </c>
      <c r="N119">
        <v>1</v>
      </c>
      <c r="O119">
        <v>1</v>
      </c>
    </row>
    <row r="120" spans="1:15" x14ac:dyDescent="0.2">
      <c r="A120" t="s">
        <v>249</v>
      </c>
      <c r="B120" t="s">
        <v>250</v>
      </c>
      <c r="C120">
        <v>2</v>
      </c>
      <c r="D120" t="s">
        <v>16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">
      <c r="A121" t="s">
        <v>251</v>
      </c>
      <c r="B121" t="s">
        <v>252</v>
      </c>
      <c r="C121">
        <v>4</v>
      </c>
      <c r="D121" t="s">
        <v>16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">
      <c r="A122" t="s">
        <v>253</v>
      </c>
      <c r="B122" t="s">
        <v>254</v>
      </c>
      <c r="C122">
        <v>15</v>
      </c>
      <c r="D122" t="s">
        <v>16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">
      <c r="A123" t="s">
        <v>255</v>
      </c>
      <c r="B123" t="s">
        <v>256</v>
      </c>
      <c r="C123">
        <v>500</v>
      </c>
      <c r="D123" t="s">
        <v>16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">
      <c r="A124" t="s">
        <v>257</v>
      </c>
      <c r="B124" t="s">
        <v>258</v>
      </c>
      <c r="C124">
        <v>100</v>
      </c>
      <c r="D124" t="s">
        <v>152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">
      <c r="A125" t="s">
        <v>259</v>
      </c>
      <c r="B125" t="s">
        <v>260</v>
      </c>
      <c r="C125">
        <v>30</v>
      </c>
      <c r="D125" t="s">
        <v>16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">
      <c r="A126" t="s">
        <v>261</v>
      </c>
      <c r="B126" t="s">
        <v>262</v>
      </c>
      <c r="C126">
        <v>200</v>
      </c>
      <c r="D126" t="s">
        <v>26</v>
      </c>
      <c r="E126">
        <v>1</v>
      </c>
      <c r="F126">
        <v>1.4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">
      <c r="A127" t="s">
        <v>263</v>
      </c>
      <c r="B127" t="s">
        <v>264</v>
      </c>
      <c r="C127">
        <v>100</v>
      </c>
      <c r="D127" t="s">
        <v>155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1.2</v>
      </c>
    </row>
    <row r="128" spans="1:15" x14ac:dyDescent="0.2">
      <c r="A128" t="s">
        <v>265</v>
      </c>
      <c r="B128" t="s">
        <v>266</v>
      </c>
      <c r="C128">
        <v>250</v>
      </c>
      <c r="D128" t="s">
        <v>26</v>
      </c>
      <c r="E128">
        <v>1</v>
      </c>
      <c r="F128">
        <v>1.4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">
      <c r="A129" t="s">
        <v>267</v>
      </c>
      <c r="B129" t="s">
        <v>268</v>
      </c>
      <c r="C129">
        <v>10</v>
      </c>
      <c r="D129" t="s">
        <v>16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">
      <c r="A130" t="s">
        <v>269</v>
      </c>
      <c r="B130" t="s">
        <v>270</v>
      </c>
      <c r="C130">
        <v>0</v>
      </c>
      <c r="D130" t="s">
        <v>16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">
      <c r="A131" t="s">
        <v>271</v>
      </c>
      <c r="B131" t="s">
        <v>272</v>
      </c>
      <c r="C131">
        <v>300</v>
      </c>
      <c r="D131" t="s">
        <v>23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1.3</v>
      </c>
      <c r="L131">
        <v>1</v>
      </c>
      <c r="M131">
        <v>1</v>
      </c>
      <c r="N131">
        <v>1</v>
      </c>
      <c r="O131">
        <v>1</v>
      </c>
    </row>
    <row r="132" spans="1:15" x14ac:dyDescent="0.2">
      <c r="A132" t="s">
        <v>273</v>
      </c>
      <c r="B132" t="s">
        <v>274</v>
      </c>
      <c r="C132">
        <v>20</v>
      </c>
      <c r="D132" t="s">
        <v>178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1.2</v>
      </c>
    </row>
    <row r="133" spans="1:15" x14ac:dyDescent="0.2">
      <c r="A133" t="s">
        <v>275</v>
      </c>
      <c r="B133" t="s">
        <v>276</v>
      </c>
      <c r="C133">
        <v>260</v>
      </c>
      <c r="D133" t="s">
        <v>152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">
      <c r="A134" t="s">
        <v>277</v>
      </c>
      <c r="B134" t="s">
        <v>278</v>
      </c>
      <c r="C134">
        <v>90</v>
      </c>
      <c r="D134" t="s">
        <v>26</v>
      </c>
      <c r="E134">
        <v>1</v>
      </c>
      <c r="F134">
        <v>1.4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">
      <c r="A135" t="s">
        <v>279</v>
      </c>
      <c r="B135" t="s">
        <v>280</v>
      </c>
      <c r="C135">
        <v>60</v>
      </c>
      <c r="D135" t="s">
        <v>26</v>
      </c>
      <c r="E135">
        <v>1</v>
      </c>
      <c r="F135">
        <v>1.4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">
      <c r="A136" t="s">
        <v>281</v>
      </c>
      <c r="B136" t="s">
        <v>282</v>
      </c>
      <c r="C136">
        <v>500</v>
      </c>
      <c r="D136" t="s">
        <v>147</v>
      </c>
      <c r="E136">
        <v>1.5</v>
      </c>
      <c r="F136">
        <v>1</v>
      </c>
      <c r="G136">
        <v>1</v>
      </c>
      <c r="H136">
        <v>1</v>
      </c>
      <c r="I136">
        <v>1.25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">
      <c r="A137" t="s">
        <v>283</v>
      </c>
      <c r="B137" t="s">
        <v>284</v>
      </c>
      <c r="C137">
        <v>750</v>
      </c>
      <c r="D137" t="s">
        <v>16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">
      <c r="A138" t="s">
        <v>285</v>
      </c>
      <c r="B138" t="s">
        <v>286</v>
      </c>
      <c r="C138">
        <v>120</v>
      </c>
      <c r="D138" t="s">
        <v>147</v>
      </c>
      <c r="E138">
        <v>1.5</v>
      </c>
      <c r="F138">
        <v>1</v>
      </c>
      <c r="G138">
        <v>1</v>
      </c>
      <c r="H138">
        <v>1</v>
      </c>
      <c r="I138">
        <v>1.25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">
      <c r="A139" t="s">
        <v>287</v>
      </c>
      <c r="B139" t="s">
        <v>288</v>
      </c>
      <c r="C139">
        <v>180</v>
      </c>
      <c r="D139" t="s">
        <v>16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">
      <c r="A140" t="s">
        <v>1794</v>
      </c>
      <c r="B140" t="s">
        <v>1795</v>
      </c>
      <c r="C140">
        <v>50</v>
      </c>
      <c r="D140" t="s">
        <v>16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">
      <c r="A141" t="s">
        <v>289</v>
      </c>
      <c r="B141" t="s">
        <v>290</v>
      </c>
      <c r="C141">
        <v>50</v>
      </c>
      <c r="D141" t="s">
        <v>291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1.2</v>
      </c>
    </row>
    <row r="142" spans="1:15" x14ac:dyDescent="0.2">
      <c r="A142" t="s">
        <v>292</v>
      </c>
      <c r="B142" t="s">
        <v>293</v>
      </c>
      <c r="C142">
        <v>200</v>
      </c>
      <c r="D142" t="s">
        <v>26</v>
      </c>
      <c r="E142">
        <v>1</v>
      </c>
      <c r="F142">
        <v>1.4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">
      <c r="A143" t="s">
        <v>294</v>
      </c>
      <c r="B143" t="s">
        <v>295</v>
      </c>
      <c r="C143">
        <v>1750</v>
      </c>
      <c r="D143" t="s">
        <v>16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">
      <c r="A144" t="s">
        <v>296</v>
      </c>
      <c r="B144" t="s">
        <v>297</v>
      </c>
      <c r="C144">
        <v>50</v>
      </c>
      <c r="D144" t="s">
        <v>178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1.2</v>
      </c>
    </row>
    <row r="145" spans="1:15" x14ac:dyDescent="0.2">
      <c r="A145" t="s">
        <v>298</v>
      </c>
      <c r="B145" t="s">
        <v>299</v>
      </c>
      <c r="C145">
        <v>150</v>
      </c>
      <c r="D145" t="s">
        <v>26</v>
      </c>
      <c r="E145">
        <v>1</v>
      </c>
      <c r="F145">
        <v>1.4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">
      <c r="A146" t="s">
        <v>300</v>
      </c>
      <c r="B146" t="s">
        <v>301</v>
      </c>
      <c r="C146">
        <v>40</v>
      </c>
      <c r="D146" t="s">
        <v>16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">
      <c r="A147" t="s">
        <v>302</v>
      </c>
      <c r="B147" t="s">
        <v>303</v>
      </c>
      <c r="C147">
        <v>150</v>
      </c>
      <c r="D147" t="s">
        <v>152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">
      <c r="A148" t="s">
        <v>304</v>
      </c>
      <c r="B148" t="s">
        <v>305</v>
      </c>
      <c r="C148">
        <v>150</v>
      </c>
      <c r="D148" t="s">
        <v>26</v>
      </c>
      <c r="E148">
        <v>1</v>
      </c>
      <c r="F148">
        <v>1.4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">
      <c r="A149" t="s">
        <v>306</v>
      </c>
      <c r="B149" t="s">
        <v>307</v>
      </c>
      <c r="C149">
        <v>80</v>
      </c>
      <c r="D149" t="s">
        <v>155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1.2</v>
      </c>
    </row>
    <row r="150" spans="1:15" x14ac:dyDescent="0.2">
      <c r="A150" t="s">
        <v>308</v>
      </c>
      <c r="B150" t="s">
        <v>309</v>
      </c>
      <c r="C150">
        <v>210</v>
      </c>
      <c r="D150" t="s">
        <v>26</v>
      </c>
      <c r="E150">
        <v>1</v>
      </c>
      <c r="F150">
        <v>1.4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">
      <c r="A151" t="s">
        <v>310</v>
      </c>
      <c r="B151" t="s">
        <v>311</v>
      </c>
      <c r="C151">
        <v>25</v>
      </c>
      <c r="D151" t="s">
        <v>16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">
      <c r="A152" t="s">
        <v>312</v>
      </c>
      <c r="B152" t="s">
        <v>313</v>
      </c>
      <c r="C152">
        <v>50</v>
      </c>
      <c r="D152" t="s">
        <v>16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">
      <c r="A153" t="s">
        <v>314</v>
      </c>
      <c r="B153" t="s">
        <v>315</v>
      </c>
      <c r="C153">
        <v>100</v>
      </c>
      <c r="D153" t="s">
        <v>16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">
      <c r="A154" t="s">
        <v>316</v>
      </c>
      <c r="B154" t="s">
        <v>317</v>
      </c>
      <c r="C154">
        <v>12</v>
      </c>
      <c r="D154" t="s">
        <v>16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">
      <c r="A155" t="s">
        <v>1796</v>
      </c>
      <c r="B155" t="s">
        <v>1797</v>
      </c>
      <c r="C155">
        <v>2500</v>
      </c>
      <c r="D155" t="s">
        <v>16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">
      <c r="A156" t="s">
        <v>1798</v>
      </c>
      <c r="B156" t="s">
        <v>1799</v>
      </c>
      <c r="C156">
        <v>3000</v>
      </c>
      <c r="D156" t="s">
        <v>16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">
      <c r="A157" t="s">
        <v>1800</v>
      </c>
      <c r="B157" t="s">
        <v>1801</v>
      </c>
      <c r="C157">
        <v>500</v>
      </c>
      <c r="D157" t="s">
        <v>16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">
      <c r="A158" t="s">
        <v>1802</v>
      </c>
      <c r="B158" t="s">
        <v>1803</v>
      </c>
      <c r="C158">
        <v>1000</v>
      </c>
      <c r="D158" t="s">
        <v>16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">
      <c r="A159" t="s">
        <v>1804</v>
      </c>
      <c r="B159" t="s">
        <v>1805</v>
      </c>
      <c r="C159">
        <v>1000</v>
      </c>
      <c r="D159" t="s">
        <v>16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">
      <c r="A160" t="s">
        <v>318</v>
      </c>
      <c r="B160" t="s">
        <v>319</v>
      </c>
      <c r="C160">
        <v>100</v>
      </c>
      <c r="D160" t="s">
        <v>16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">
      <c r="A161" t="s">
        <v>320</v>
      </c>
      <c r="B161" t="s">
        <v>321</v>
      </c>
      <c r="C161">
        <v>60</v>
      </c>
      <c r="D161" t="s">
        <v>152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">
      <c r="A162" t="s">
        <v>322</v>
      </c>
      <c r="B162" t="s">
        <v>323</v>
      </c>
      <c r="C162">
        <v>45</v>
      </c>
      <c r="D162" t="s">
        <v>147</v>
      </c>
      <c r="E162">
        <v>1.5</v>
      </c>
      <c r="F162">
        <v>1</v>
      </c>
      <c r="G162">
        <v>1</v>
      </c>
      <c r="H162">
        <v>1</v>
      </c>
      <c r="I162">
        <v>1.25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">
      <c r="A163" t="s">
        <v>324</v>
      </c>
      <c r="B163" t="s">
        <v>325</v>
      </c>
      <c r="C163">
        <v>67</v>
      </c>
      <c r="D163" t="s">
        <v>16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">
      <c r="A164" t="s">
        <v>326</v>
      </c>
      <c r="B164" t="s">
        <v>327</v>
      </c>
      <c r="C164">
        <v>1</v>
      </c>
      <c r="D164" t="s">
        <v>16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">
      <c r="A165" t="s">
        <v>1806</v>
      </c>
      <c r="B165" t="s">
        <v>1807</v>
      </c>
      <c r="C165">
        <v>70</v>
      </c>
      <c r="D165" t="s">
        <v>155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1.2</v>
      </c>
    </row>
    <row r="166" spans="1:15" x14ac:dyDescent="0.2">
      <c r="A166" t="s">
        <v>1808</v>
      </c>
      <c r="B166" t="s">
        <v>1809</v>
      </c>
      <c r="C166">
        <v>190</v>
      </c>
      <c r="D166" t="s">
        <v>26</v>
      </c>
      <c r="E166">
        <v>1</v>
      </c>
      <c r="F166">
        <v>1.4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">
      <c r="A167" t="s">
        <v>1810</v>
      </c>
      <c r="B167" t="s">
        <v>1811</v>
      </c>
      <c r="C167">
        <v>40</v>
      </c>
      <c r="D167" t="s">
        <v>16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">
      <c r="A168" t="s">
        <v>328</v>
      </c>
      <c r="B168" t="s">
        <v>329</v>
      </c>
      <c r="C168">
        <v>0</v>
      </c>
      <c r="D168" t="s">
        <v>16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">
      <c r="A169" t="s">
        <v>330</v>
      </c>
      <c r="B169" t="s">
        <v>331</v>
      </c>
      <c r="C169">
        <v>0</v>
      </c>
      <c r="D169" t="s">
        <v>16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">
      <c r="A170" t="s">
        <v>332</v>
      </c>
      <c r="B170" t="s">
        <v>333</v>
      </c>
      <c r="C170">
        <v>210</v>
      </c>
      <c r="D170" t="s">
        <v>152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">
      <c r="A171" t="s">
        <v>334</v>
      </c>
      <c r="B171" t="s">
        <v>335</v>
      </c>
      <c r="C171">
        <v>8</v>
      </c>
      <c r="D171" t="s">
        <v>16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">
      <c r="A172" t="s">
        <v>336</v>
      </c>
      <c r="B172" t="s">
        <v>337</v>
      </c>
      <c r="C172">
        <v>50</v>
      </c>
      <c r="D172" t="s">
        <v>16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">
      <c r="A173" t="s">
        <v>338</v>
      </c>
      <c r="B173" t="s">
        <v>339</v>
      </c>
      <c r="C173">
        <v>75</v>
      </c>
      <c r="D173" t="s">
        <v>147</v>
      </c>
      <c r="E173">
        <v>1.5</v>
      </c>
      <c r="F173">
        <v>1</v>
      </c>
      <c r="G173">
        <v>1</v>
      </c>
      <c r="H173">
        <v>1</v>
      </c>
      <c r="I173">
        <v>1.25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">
      <c r="A174" t="s">
        <v>340</v>
      </c>
      <c r="B174" t="s">
        <v>341</v>
      </c>
      <c r="C174">
        <v>112</v>
      </c>
      <c r="D174" t="s">
        <v>16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">
      <c r="A175" t="s">
        <v>342</v>
      </c>
      <c r="B175" t="s">
        <v>343</v>
      </c>
      <c r="C175">
        <v>1500</v>
      </c>
      <c r="D175" t="s">
        <v>16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">
      <c r="A176" t="s">
        <v>1812</v>
      </c>
      <c r="B176" t="s">
        <v>1813</v>
      </c>
      <c r="C176">
        <v>0</v>
      </c>
      <c r="D176" t="s">
        <v>16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">
      <c r="A177" t="s">
        <v>344</v>
      </c>
      <c r="B177" t="s">
        <v>345</v>
      </c>
      <c r="C177">
        <v>75</v>
      </c>
      <c r="D177" t="s">
        <v>178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1.2</v>
      </c>
    </row>
    <row r="178" spans="1:15" x14ac:dyDescent="0.2">
      <c r="A178" t="s">
        <v>346</v>
      </c>
      <c r="B178" t="s">
        <v>347</v>
      </c>
      <c r="C178">
        <v>200</v>
      </c>
      <c r="D178" t="s">
        <v>26</v>
      </c>
      <c r="E178">
        <v>1</v>
      </c>
      <c r="F178">
        <v>1.4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">
      <c r="A179" t="s">
        <v>348</v>
      </c>
      <c r="B179" t="s">
        <v>349</v>
      </c>
      <c r="C179">
        <v>225</v>
      </c>
      <c r="D179" t="s">
        <v>26</v>
      </c>
      <c r="E179">
        <v>1</v>
      </c>
      <c r="F179">
        <v>1.4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">
      <c r="A180" t="s">
        <v>350</v>
      </c>
      <c r="B180" t="s">
        <v>351</v>
      </c>
      <c r="C180">
        <v>0</v>
      </c>
      <c r="D180" t="s">
        <v>16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">
      <c r="A181" t="s">
        <v>352</v>
      </c>
      <c r="B181" t="s">
        <v>353</v>
      </c>
      <c r="C181">
        <v>75</v>
      </c>
      <c r="D181" t="s">
        <v>23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1.3</v>
      </c>
      <c r="L181">
        <v>1</v>
      </c>
      <c r="M181">
        <v>1</v>
      </c>
      <c r="N181">
        <v>1</v>
      </c>
      <c r="O181">
        <v>1</v>
      </c>
    </row>
    <row r="182" spans="1:15" x14ac:dyDescent="0.2">
      <c r="A182" t="s">
        <v>1814</v>
      </c>
      <c r="B182" t="s">
        <v>1815</v>
      </c>
      <c r="C182">
        <v>0</v>
      </c>
      <c r="D182" t="s">
        <v>16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">
      <c r="A183" t="s">
        <v>354</v>
      </c>
      <c r="B183" t="s">
        <v>355</v>
      </c>
      <c r="C183">
        <v>1</v>
      </c>
      <c r="D183" t="s">
        <v>16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">
      <c r="A184" t="s">
        <v>356</v>
      </c>
      <c r="B184" t="s">
        <v>357</v>
      </c>
      <c r="C184">
        <v>30</v>
      </c>
      <c r="D184" t="s">
        <v>147</v>
      </c>
      <c r="E184">
        <v>1.5</v>
      </c>
      <c r="F184">
        <v>1</v>
      </c>
      <c r="G184">
        <v>1</v>
      </c>
      <c r="H184">
        <v>1</v>
      </c>
      <c r="I184">
        <v>1.25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">
      <c r="A185" t="s">
        <v>358</v>
      </c>
      <c r="B185" t="s">
        <v>359</v>
      </c>
      <c r="C185">
        <v>45</v>
      </c>
      <c r="D185" t="s">
        <v>16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">
      <c r="A186" t="s">
        <v>360</v>
      </c>
      <c r="B186" t="s">
        <v>361</v>
      </c>
      <c r="C186">
        <v>150</v>
      </c>
      <c r="D186" t="s">
        <v>152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">
      <c r="A187" t="s">
        <v>1816</v>
      </c>
      <c r="B187" t="s">
        <v>1817</v>
      </c>
      <c r="C187">
        <v>35</v>
      </c>
      <c r="D187" t="s">
        <v>155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1.2</v>
      </c>
    </row>
    <row r="188" spans="1:15" x14ac:dyDescent="0.2">
      <c r="A188" t="s">
        <v>1818</v>
      </c>
      <c r="B188" t="s">
        <v>1819</v>
      </c>
      <c r="C188">
        <v>120</v>
      </c>
      <c r="D188" t="s">
        <v>26</v>
      </c>
      <c r="E188">
        <v>1</v>
      </c>
      <c r="F188">
        <v>1.4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">
      <c r="A189" t="s">
        <v>1820</v>
      </c>
      <c r="B189" t="s">
        <v>1821</v>
      </c>
      <c r="C189">
        <v>15</v>
      </c>
      <c r="D189" t="s">
        <v>16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">
      <c r="A190" t="s">
        <v>362</v>
      </c>
      <c r="B190" t="s">
        <v>363</v>
      </c>
      <c r="C190">
        <v>200</v>
      </c>
      <c r="D190" t="s">
        <v>147</v>
      </c>
      <c r="E190">
        <v>1.5</v>
      </c>
      <c r="F190">
        <v>1</v>
      </c>
      <c r="G190">
        <v>1</v>
      </c>
      <c r="H190">
        <v>1</v>
      </c>
      <c r="I190">
        <v>1.25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">
      <c r="A191" t="s">
        <v>364</v>
      </c>
      <c r="B191" t="s">
        <v>365</v>
      </c>
      <c r="C191">
        <v>300</v>
      </c>
      <c r="D191" t="s">
        <v>16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">
      <c r="A192" t="s">
        <v>366</v>
      </c>
      <c r="B192" t="s">
        <v>367</v>
      </c>
      <c r="C192">
        <v>175</v>
      </c>
      <c r="D192" t="s">
        <v>155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1.2</v>
      </c>
    </row>
    <row r="193" spans="1:15" x14ac:dyDescent="0.2">
      <c r="A193" t="s">
        <v>368</v>
      </c>
      <c r="B193" t="s">
        <v>369</v>
      </c>
      <c r="C193">
        <v>400</v>
      </c>
      <c r="D193" t="s">
        <v>26</v>
      </c>
      <c r="E193">
        <v>1</v>
      </c>
      <c r="F193">
        <v>1.4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">
      <c r="A194" t="s">
        <v>370</v>
      </c>
      <c r="B194" t="s">
        <v>371</v>
      </c>
      <c r="C194">
        <v>40</v>
      </c>
      <c r="D194" t="s">
        <v>16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">
      <c r="A195" t="s">
        <v>372</v>
      </c>
      <c r="B195" t="s">
        <v>373</v>
      </c>
      <c r="C195">
        <v>25</v>
      </c>
      <c r="D195" t="s">
        <v>291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">
      <c r="A196" t="s">
        <v>1822</v>
      </c>
      <c r="B196" t="s">
        <v>1823</v>
      </c>
      <c r="C196">
        <v>180</v>
      </c>
      <c r="D196" t="s">
        <v>16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">
      <c r="A197" t="s">
        <v>374</v>
      </c>
      <c r="B197" t="s">
        <v>375</v>
      </c>
      <c r="C197">
        <v>500</v>
      </c>
      <c r="D197" t="s">
        <v>26</v>
      </c>
      <c r="E197">
        <v>1</v>
      </c>
      <c r="F197">
        <v>1.4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">
      <c r="A198" t="s">
        <v>376</v>
      </c>
      <c r="B198" t="s">
        <v>377</v>
      </c>
      <c r="C198">
        <v>125</v>
      </c>
      <c r="D198" t="s">
        <v>23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1.3</v>
      </c>
      <c r="L198">
        <v>1</v>
      </c>
      <c r="M198">
        <v>1</v>
      </c>
      <c r="N198">
        <v>1</v>
      </c>
      <c r="O198">
        <v>1</v>
      </c>
    </row>
    <row r="199" spans="1:15" x14ac:dyDescent="0.2">
      <c r="A199" t="s">
        <v>1824</v>
      </c>
      <c r="B199" t="s">
        <v>1825</v>
      </c>
      <c r="C199">
        <v>1</v>
      </c>
      <c r="D199" t="s">
        <v>16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">
      <c r="A200" t="s">
        <v>378</v>
      </c>
      <c r="B200" t="s">
        <v>379</v>
      </c>
      <c r="C200">
        <v>160</v>
      </c>
      <c r="D200" t="s">
        <v>291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">
      <c r="A201" t="s">
        <v>380</v>
      </c>
      <c r="B201" t="s">
        <v>381</v>
      </c>
      <c r="C201">
        <v>230</v>
      </c>
      <c r="D201" t="s">
        <v>26</v>
      </c>
      <c r="E201">
        <v>1</v>
      </c>
      <c r="F201">
        <v>1.4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">
      <c r="A202" t="s">
        <v>382</v>
      </c>
      <c r="B202" t="s">
        <v>383</v>
      </c>
      <c r="C202">
        <v>300</v>
      </c>
      <c r="D202" t="s">
        <v>152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">
      <c r="A203" t="s">
        <v>384</v>
      </c>
      <c r="B203" t="s">
        <v>385</v>
      </c>
      <c r="C203">
        <v>80</v>
      </c>
      <c r="D203" t="s">
        <v>178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1.2</v>
      </c>
    </row>
    <row r="204" spans="1:15" x14ac:dyDescent="0.2">
      <c r="A204" t="s">
        <v>386</v>
      </c>
      <c r="B204" t="s">
        <v>387</v>
      </c>
      <c r="C204">
        <v>50</v>
      </c>
      <c r="D204" t="s">
        <v>16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">
      <c r="A205" t="s">
        <v>388</v>
      </c>
      <c r="B205" t="s">
        <v>389</v>
      </c>
      <c r="C205">
        <v>210</v>
      </c>
      <c r="D205" t="s">
        <v>26</v>
      </c>
      <c r="E205">
        <v>1</v>
      </c>
      <c r="F205">
        <v>1.4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">
      <c r="A206" t="s">
        <v>390</v>
      </c>
      <c r="B206" t="s">
        <v>391</v>
      </c>
      <c r="C206">
        <v>850</v>
      </c>
      <c r="D206" t="s">
        <v>16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">
      <c r="A207" t="s">
        <v>392</v>
      </c>
      <c r="B207" t="s">
        <v>393</v>
      </c>
      <c r="C207">
        <v>240</v>
      </c>
      <c r="D207" t="s">
        <v>26</v>
      </c>
      <c r="E207">
        <v>1</v>
      </c>
      <c r="F207">
        <v>1.4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">
      <c r="A208" t="s">
        <v>394</v>
      </c>
      <c r="B208" t="s">
        <v>395</v>
      </c>
      <c r="C208">
        <v>50</v>
      </c>
      <c r="D208" t="s">
        <v>16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">
      <c r="A209" t="s">
        <v>396</v>
      </c>
      <c r="B209" t="s">
        <v>397</v>
      </c>
      <c r="C209">
        <v>50</v>
      </c>
      <c r="D209" t="s">
        <v>16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">
      <c r="A210" t="s">
        <v>398</v>
      </c>
      <c r="B210" t="s">
        <v>399</v>
      </c>
      <c r="C210">
        <v>40</v>
      </c>
      <c r="D210" t="s">
        <v>16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">
      <c r="A211" t="s">
        <v>400</v>
      </c>
      <c r="B211" t="s">
        <v>401</v>
      </c>
      <c r="C211">
        <v>200</v>
      </c>
      <c r="D211" t="s">
        <v>152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">
      <c r="A212" t="s">
        <v>402</v>
      </c>
      <c r="B212" t="s">
        <v>403</v>
      </c>
      <c r="C212">
        <v>135</v>
      </c>
      <c r="D212" t="s">
        <v>152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">
      <c r="A213" t="s">
        <v>404</v>
      </c>
      <c r="B213" t="s">
        <v>405</v>
      </c>
      <c r="C213">
        <v>50</v>
      </c>
      <c r="D213" t="s">
        <v>147</v>
      </c>
      <c r="E213">
        <v>1.5</v>
      </c>
      <c r="F213">
        <v>1</v>
      </c>
      <c r="G213">
        <v>1</v>
      </c>
      <c r="H213">
        <v>1</v>
      </c>
      <c r="I213">
        <v>1.25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">
      <c r="A214" t="s">
        <v>406</v>
      </c>
      <c r="B214" t="s">
        <v>407</v>
      </c>
      <c r="C214">
        <v>75</v>
      </c>
      <c r="D214" t="s">
        <v>16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">
      <c r="A215" t="s">
        <v>408</v>
      </c>
      <c r="B215" t="s">
        <v>409</v>
      </c>
      <c r="C215">
        <v>50</v>
      </c>
      <c r="D215" t="s">
        <v>16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">
      <c r="A216" t="s">
        <v>410</v>
      </c>
      <c r="B216" t="s">
        <v>411</v>
      </c>
      <c r="C216">
        <v>50</v>
      </c>
      <c r="D216" t="s">
        <v>147</v>
      </c>
      <c r="E216">
        <v>1.5</v>
      </c>
      <c r="F216">
        <v>1</v>
      </c>
      <c r="G216">
        <v>1</v>
      </c>
      <c r="H216">
        <v>1</v>
      </c>
      <c r="I216">
        <v>1.25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">
      <c r="A217" t="s">
        <v>1826</v>
      </c>
      <c r="B217" t="s">
        <v>1827</v>
      </c>
      <c r="C217">
        <v>75</v>
      </c>
      <c r="D217" t="s">
        <v>16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">
      <c r="A218" t="s">
        <v>412</v>
      </c>
      <c r="B218" t="s">
        <v>413</v>
      </c>
      <c r="C218">
        <v>20</v>
      </c>
      <c r="D218" t="s">
        <v>16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">
      <c r="A219" t="s">
        <v>414</v>
      </c>
      <c r="B219" t="s">
        <v>415</v>
      </c>
      <c r="C219">
        <v>470</v>
      </c>
      <c r="D219" t="s">
        <v>26</v>
      </c>
      <c r="E219">
        <v>1</v>
      </c>
      <c r="F219">
        <v>1.4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">
      <c r="A220" t="s">
        <v>416</v>
      </c>
      <c r="B220" t="s">
        <v>417</v>
      </c>
      <c r="C220">
        <v>15</v>
      </c>
      <c r="D220" t="s">
        <v>16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">
      <c r="A221" t="s">
        <v>418</v>
      </c>
      <c r="B221" t="s">
        <v>419</v>
      </c>
      <c r="C221">
        <v>1</v>
      </c>
      <c r="D221" t="s">
        <v>16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">
      <c r="A222" t="s">
        <v>420</v>
      </c>
      <c r="B222" t="s">
        <v>421</v>
      </c>
      <c r="C222">
        <v>50</v>
      </c>
      <c r="D222" t="s">
        <v>147</v>
      </c>
      <c r="E222">
        <v>1.5</v>
      </c>
      <c r="F222">
        <v>1</v>
      </c>
      <c r="G222">
        <v>1</v>
      </c>
      <c r="H222">
        <v>1</v>
      </c>
      <c r="I222">
        <v>1.25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">
      <c r="A223" t="s">
        <v>422</v>
      </c>
      <c r="B223" t="s">
        <v>423</v>
      </c>
      <c r="C223">
        <v>75</v>
      </c>
      <c r="D223" t="s">
        <v>16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">
      <c r="A224" t="s">
        <v>424</v>
      </c>
      <c r="B224" t="s">
        <v>425</v>
      </c>
      <c r="C224">
        <v>100</v>
      </c>
      <c r="D224" t="s">
        <v>178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1.2</v>
      </c>
    </row>
    <row r="225" spans="1:15" x14ac:dyDescent="0.2">
      <c r="A225" t="s">
        <v>426</v>
      </c>
      <c r="B225" t="s">
        <v>427</v>
      </c>
      <c r="C225">
        <v>250</v>
      </c>
      <c r="D225" t="s">
        <v>26</v>
      </c>
      <c r="E225">
        <v>1</v>
      </c>
      <c r="F225">
        <v>1.4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">
      <c r="A226" t="s">
        <v>428</v>
      </c>
      <c r="B226" t="s">
        <v>429</v>
      </c>
      <c r="C226">
        <v>300</v>
      </c>
      <c r="D226" t="s">
        <v>26</v>
      </c>
      <c r="E226">
        <v>1</v>
      </c>
      <c r="F226">
        <v>1.4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">
      <c r="A227" t="s">
        <v>430</v>
      </c>
      <c r="B227" t="s">
        <v>431</v>
      </c>
      <c r="C227">
        <v>150</v>
      </c>
      <c r="D227" t="s">
        <v>16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">
      <c r="A228" t="s">
        <v>432</v>
      </c>
      <c r="B228" t="s">
        <v>433</v>
      </c>
      <c r="C228">
        <v>15</v>
      </c>
      <c r="D228" t="s">
        <v>16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">
      <c r="A229" t="s">
        <v>434</v>
      </c>
      <c r="B229" t="s">
        <v>435</v>
      </c>
      <c r="C229">
        <v>345</v>
      </c>
      <c r="D229" t="s">
        <v>152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">
      <c r="A230" t="s">
        <v>1828</v>
      </c>
      <c r="B230" t="s">
        <v>1829</v>
      </c>
      <c r="C230">
        <v>500</v>
      </c>
      <c r="D230" t="s">
        <v>16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">
      <c r="A231" t="s">
        <v>436</v>
      </c>
      <c r="B231" t="s">
        <v>437</v>
      </c>
      <c r="C231">
        <v>100</v>
      </c>
      <c r="D231" t="s">
        <v>16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">
      <c r="A232" t="s">
        <v>438</v>
      </c>
      <c r="B232" t="s">
        <v>439</v>
      </c>
      <c r="C232">
        <v>40</v>
      </c>
      <c r="D232" t="s">
        <v>291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">
      <c r="A233" t="s">
        <v>440</v>
      </c>
      <c r="B233" t="s">
        <v>441</v>
      </c>
      <c r="C233">
        <v>350</v>
      </c>
      <c r="D233" t="s">
        <v>152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">
      <c r="A234" t="s">
        <v>442</v>
      </c>
      <c r="B234" t="s">
        <v>443</v>
      </c>
      <c r="C234">
        <v>140</v>
      </c>
      <c r="D234" t="s">
        <v>152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">
      <c r="A235" t="s">
        <v>444</v>
      </c>
      <c r="B235" t="s">
        <v>445</v>
      </c>
      <c r="C235">
        <v>80</v>
      </c>
      <c r="D235" t="s">
        <v>16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">
      <c r="A236" t="s">
        <v>446</v>
      </c>
      <c r="B236" t="s">
        <v>447</v>
      </c>
      <c r="C236">
        <v>60</v>
      </c>
      <c r="D236" t="s">
        <v>16</v>
      </c>
      <c r="E236">
        <v>1</v>
      </c>
      <c r="F236">
        <v>1</v>
      </c>
      <c r="G236">
        <v>1</v>
      </c>
      <c r="H236">
        <v>1.5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">
      <c r="A237" t="s">
        <v>448</v>
      </c>
      <c r="B237" t="s">
        <v>449</v>
      </c>
      <c r="C237">
        <v>5</v>
      </c>
      <c r="D237" t="s">
        <v>16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">
      <c r="A238" t="s">
        <v>450</v>
      </c>
      <c r="B238" t="s">
        <v>451</v>
      </c>
      <c r="C238">
        <v>80</v>
      </c>
      <c r="D238" t="s">
        <v>16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">
      <c r="A239" t="s">
        <v>452</v>
      </c>
      <c r="B239" t="s">
        <v>453</v>
      </c>
      <c r="C239">
        <v>250</v>
      </c>
      <c r="D239" t="s">
        <v>16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">
      <c r="A240" t="s">
        <v>454</v>
      </c>
      <c r="B240" t="s">
        <v>455</v>
      </c>
      <c r="C240">
        <v>50</v>
      </c>
      <c r="D240" t="s">
        <v>155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1.2</v>
      </c>
    </row>
    <row r="241" spans="1:15" x14ac:dyDescent="0.2">
      <c r="A241" t="s">
        <v>456</v>
      </c>
      <c r="B241" t="s">
        <v>457</v>
      </c>
      <c r="C241">
        <v>150</v>
      </c>
      <c r="D241" t="s">
        <v>26</v>
      </c>
      <c r="E241">
        <v>1</v>
      </c>
      <c r="F241">
        <v>1.4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">
      <c r="A242" t="s">
        <v>458</v>
      </c>
      <c r="B242" t="s">
        <v>459</v>
      </c>
      <c r="C242">
        <v>75</v>
      </c>
      <c r="D242" t="s">
        <v>16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">
      <c r="A243" t="s">
        <v>460</v>
      </c>
      <c r="B243" t="s">
        <v>461</v>
      </c>
      <c r="C243">
        <v>100</v>
      </c>
      <c r="D243" t="s">
        <v>147</v>
      </c>
      <c r="E243">
        <v>1.5</v>
      </c>
      <c r="F243">
        <v>1</v>
      </c>
      <c r="G243">
        <v>1</v>
      </c>
      <c r="H243">
        <v>1</v>
      </c>
      <c r="I243">
        <v>1.25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">
      <c r="A244" t="s">
        <v>462</v>
      </c>
      <c r="B244" t="s">
        <v>463</v>
      </c>
      <c r="C244">
        <v>275</v>
      </c>
      <c r="D244" t="s">
        <v>152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">
      <c r="A245" t="s">
        <v>464</v>
      </c>
      <c r="B245" t="s">
        <v>465</v>
      </c>
      <c r="C245">
        <v>50</v>
      </c>
      <c r="D245" t="s">
        <v>16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">
      <c r="A246" t="s">
        <v>466</v>
      </c>
      <c r="B246" t="s">
        <v>467</v>
      </c>
      <c r="C246">
        <v>150</v>
      </c>
      <c r="D246" t="s">
        <v>16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">
      <c r="A247" t="s">
        <v>468</v>
      </c>
      <c r="B247" t="s">
        <v>469</v>
      </c>
      <c r="C247">
        <v>2000</v>
      </c>
      <c r="D247" t="s">
        <v>16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">
      <c r="A248" t="s">
        <v>470</v>
      </c>
      <c r="B248" t="s">
        <v>471</v>
      </c>
      <c r="C248">
        <v>75</v>
      </c>
      <c r="D248" t="s">
        <v>178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1.2</v>
      </c>
    </row>
    <row r="249" spans="1:15" x14ac:dyDescent="0.2">
      <c r="A249" t="s">
        <v>472</v>
      </c>
      <c r="B249" t="s">
        <v>473</v>
      </c>
      <c r="C249">
        <v>200</v>
      </c>
      <c r="D249" t="s">
        <v>26</v>
      </c>
      <c r="E249">
        <v>1</v>
      </c>
      <c r="F249">
        <v>1.4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">
      <c r="A250" t="s">
        <v>474</v>
      </c>
      <c r="B250" t="s">
        <v>475</v>
      </c>
      <c r="C250">
        <v>225</v>
      </c>
      <c r="D250" t="s">
        <v>26</v>
      </c>
      <c r="E250">
        <v>1</v>
      </c>
      <c r="F250">
        <v>1.4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">
      <c r="A251" t="s">
        <v>476</v>
      </c>
      <c r="B251" t="s">
        <v>477</v>
      </c>
      <c r="C251">
        <v>175</v>
      </c>
      <c r="D251" t="s">
        <v>152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">
      <c r="A252" t="s">
        <v>478</v>
      </c>
      <c r="B252" t="s">
        <v>479</v>
      </c>
      <c r="C252">
        <v>120</v>
      </c>
      <c r="D252" t="s">
        <v>152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">
      <c r="A253" t="s">
        <v>480</v>
      </c>
      <c r="B253" t="s">
        <v>481</v>
      </c>
      <c r="C253">
        <v>120</v>
      </c>
      <c r="D253" t="s">
        <v>16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">
      <c r="A254" t="s">
        <v>482</v>
      </c>
      <c r="B254" t="s">
        <v>483</v>
      </c>
      <c r="C254">
        <v>75</v>
      </c>
      <c r="D254" t="s">
        <v>147</v>
      </c>
      <c r="E254">
        <v>1.5</v>
      </c>
      <c r="F254">
        <v>1</v>
      </c>
      <c r="G254">
        <v>1</v>
      </c>
      <c r="H254">
        <v>1</v>
      </c>
      <c r="I254">
        <v>1.25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">
      <c r="A255" t="s">
        <v>484</v>
      </c>
      <c r="B255" t="s">
        <v>485</v>
      </c>
      <c r="C255">
        <v>112</v>
      </c>
      <c r="D255" t="s">
        <v>16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">
      <c r="A256" t="s">
        <v>486</v>
      </c>
      <c r="B256" t="s">
        <v>487</v>
      </c>
      <c r="C256">
        <v>1500</v>
      </c>
      <c r="D256" t="s">
        <v>147</v>
      </c>
      <c r="E256">
        <v>1.5</v>
      </c>
      <c r="F256">
        <v>1</v>
      </c>
      <c r="G256">
        <v>1</v>
      </c>
      <c r="H256">
        <v>1</v>
      </c>
      <c r="I256">
        <v>1.25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">
      <c r="A257" t="s">
        <v>488</v>
      </c>
      <c r="B257" t="s">
        <v>489</v>
      </c>
      <c r="C257">
        <v>150</v>
      </c>
      <c r="D257" t="s">
        <v>152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">
      <c r="A258" t="s">
        <v>490</v>
      </c>
      <c r="B258" t="s">
        <v>491</v>
      </c>
      <c r="C258">
        <v>60</v>
      </c>
      <c r="D258" t="s">
        <v>291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1.2</v>
      </c>
    </row>
    <row r="259" spans="1:15" x14ac:dyDescent="0.2">
      <c r="A259" t="s">
        <v>492</v>
      </c>
      <c r="B259" t="s">
        <v>493</v>
      </c>
      <c r="C259">
        <v>220</v>
      </c>
      <c r="D259" t="s">
        <v>26</v>
      </c>
      <c r="E259">
        <v>1</v>
      </c>
      <c r="F259">
        <v>1.4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">
      <c r="A260" t="s">
        <v>494</v>
      </c>
      <c r="B260" t="s">
        <v>495</v>
      </c>
      <c r="C260">
        <v>1</v>
      </c>
      <c r="D260" t="s">
        <v>16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">
      <c r="A261" t="s">
        <v>496</v>
      </c>
      <c r="B261" t="s">
        <v>497</v>
      </c>
      <c r="C261">
        <v>150</v>
      </c>
      <c r="D261" t="s">
        <v>178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1.2</v>
      </c>
    </row>
    <row r="262" spans="1:15" x14ac:dyDescent="0.2">
      <c r="A262" t="s">
        <v>498</v>
      </c>
      <c r="B262" t="s">
        <v>499</v>
      </c>
      <c r="C262">
        <v>350</v>
      </c>
      <c r="D262" t="s">
        <v>26</v>
      </c>
      <c r="E262">
        <v>1</v>
      </c>
      <c r="F262">
        <v>1.4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">
      <c r="A263" t="s">
        <v>500</v>
      </c>
      <c r="B263" t="s">
        <v>501</v>
      </c>
      <c r="C263">
        <v>450</v>
      </c>
      <c r="D263" t="s">
        <v>26</v>
      </c>
      <c r="E263">
        <v>1</v>
      </c>
      <c r="F263">
        <v>1.4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">
      <c r="A264" t="s">
        <v>502</v>
      </c>
      <c r="B264" t="s">
        <v>503</v>
      </c>
      <c r="C264">
        <v>1</v>
      </c>
      <c r="D264" t="s">
        <v>16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">
      <c r="A265" t="s">
        <v>504</v>
      </c>
      <c r="B265" t="s">
        <v>505</v>
      </c>
      <c r="C265">
        <v>500</v>
      </c>
      <c r="D265" t="s">
        <v>16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">
      <c r="A266" t="s">
        <v>506</v>
      </c>
      <c r="B266" t="s">
        <v>507</v>
      </c>
      <c r="C266">
        <v>30</v>
      </c>
      <c r="D266" t="s">
        <v>291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">
      <c r="A267" t="s">
        <v>508</v>
      </c>
      <c r="B267" t="s">
        <v>509</v>
      </c>
      <c r="C267">
        <v>40</v>
      </c>
      <c r="D267" t="s">
        <v>291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">
      <c r="A268" t="s">
        <v>510</v>
      </c>
      <c r="B268" t="s">
        <v>511</v>
      </c>
      <c r="C268">
        <v>200</v>
      </c>
      <c r="D268" t="s">
        <v>16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">
      <c r="A269" t="s">
        <v>1830</v>
      </c>
      <c r="B269" t="s">
        <v>1831</v>
      </c>
      <c r="C269">
        <v>1</v>
      </c>
      <c r="D269" t="s">
        <v>16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">
      <c r="A270" t="s">
        <v>512</v>
      </c>
      <c r="B270" t="s">
        <v>513</v>
      </c>
      <c r="C270">
        <v>70</v>
      </c>
      <c r="D270" t="s">
        <v>16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">
      <c r="A271" t="s">
        <v>514</v>
      </c>
      <c r="B271" t="s">
        <v>515</v>
      </c>
      <c r="C271">
        <v>30</v>
      </c>
      <c r="D271" t="s">
        <v>16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">
      <c r="A272" t="s">
        <v>516</v>
      </c>
      <c r="B272" t="s">
        <v>517</v>
      </c>
      <c r="C272">
        <v>40</v>
      </c>
      <c r="D272" t="s">
        <v>16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">
      <c r="A273" t="s">
        <v>518</v>
      </c>
      <c r="B273" t="s">
        <v>519</v>
      </c>
      <c r="C273">
        <v>750</v>
      </c>
      <c r="D273" t="s">
        <v>23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1.3</v>
      </c>
      <c r="L273">
        <v>1</v>
      </c>
      <c r="M273">
        <v>1</v>
      </c>
      <c r="N273">
        <v>1</v>
      </c>
      <c r="O273">
        <v>1</v>
      </c>
    </row>
    <row r="274" spans="1:15" x14ac:dyDescent="0.2">
      <c r="A274" t="s">
        <v>520</v>
      </c>
      <c r="B274" t="s">
        <v>521</v>
      </c>
      <c r="C274">
        <v>350</v>
      </c>
      <c r="D274" t="s">
        <v>16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">
      <c r="A275" t="s">
        <v>522</v>
      </c>
      <c r="B275" t="s">
        <v>523</v>
      </c>
      <c r="C275">
        <v>800</v>
      </c>
      <c r="D275" t="s">
        <v>26</v>
      </c>
      <c r="E275">
        <v>1</v>
      </c>
      <c r="F275">
        <v>1.4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">
      <c r="A276" t="s">
        <v>524</v>
      </c>
      <c r="B276" t="s">
        <v>525</v>
      </c>
      <c r="C276">
        <v>220</v>
      </c>
      <c r="D276" t="s">
        <v>152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">
      <c r="A277" t="s">
        <v>526</v>
      </c>
      <c r="B277" t="s">
        <v>527</v>
      </c>
      <c r="C277">
        <v>300</v>
      </c>
      <c r="D277" t="s">
        <v>23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1.3</v>
      </c>
      <c r="L277">
        <v>1</v>
      </c>
      <c r="M277">
        <v>1</v>
      </c>
      <c r="N277">
        <v>1</v>
      </c>
      <c r="O277">
        <v>1</v>
      </c>
    </row>
    <row r="278" spans="1:15" x14ac:dyDescent="0.2">
      <c r="A278" t="s">
        <v>528</v>
      </c>
      <c r="B278" t="s">
        <v>529</v>
      </c>
      <c r="C278">
        <v>100</v>
      </c>
      <c r="D278" t="s">
        <v>147</v>
      </c>
      <c r="E278">
        <v>1.5</v>
      </c>
      <c r="F278">
        <v>1</v>
      </c>
      <c r="G278">
        <v>1</v>
      </c>
      <c r="H278">
        <v>1</v>
      </c>
      <c r="I278">
        <v>1.25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">
      <c r="A279" t="s">
        <v>530</v>
      </c>
      <c r="B279" t="s">
        <v>531</v>
      </c>
      <c r="C279">
        <v>150</v>
      </c>
      <c r="D279" t="s">
        <v>16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">
      <c r="A280" t="s">
        <v>532</v>
      </c>
      <c r="B280" t="s">
        <v>533</v>
      </c>
      <c r="C280">
        <v>500</v>
      </c>
      <c r="D280" t="s">
        <v>16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">
      <c r="A281" t="s">
        <v>534</v>
      </c>
      <c r="B281" t="s">
        <v>535</v>
      </c>
      <c r="C281">
        <v>500</v>
      </c>
      <c r="D281" t="s">
        <v>16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">
      <c r="A282" t="s">
        <v>1832</v>
      </c>
      <c r="B282" t="s">
        <v>1833</v>
      </c>
      <c r="C282">
        <v>25</v>
      </c>
      <c r="D282" t="s">
        <v>26</v>
      </c>
      <c r="E282">
        <v>1</v>
      </c>
      <c r="F282">
        <v>1.4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">
      <c r="A283" t="s">
        <v>536</v>
      </c>
      <c r="B283" t="s">
        <v>537</v>
      </c>
      <c r="C283">
        <v>40</v>
      </c>
      <c r="D283" t="s">
        <v>16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 x14ac:dyDescent="0.2">
      <c r="A284" t="s">
        <v>538</v>
      </c>
      <c r="B284" t="s">
        <v>539</v>
      </c>
      <c r="C284">
        <v>0</v>
      </c>
      <c r="D284" t="s">
        <v>16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 x14ac:dyDescent="0.2">
      <c r="A285" t="s">
        <v>540</v>
      </c>
      <c r="B285" t="s">
        <v>541</v>
      </c>
      <c r="C285">
        <v>100</v>
      </c>
      <c r="D285" t="s">
        <v>16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 x14ac:dyDescent="0.2">
      <c r="A286" t="s">
        <v>542</v>
      </c>
      <c r="B286" t="s">
        <v>543</v>
      </c>
      <c r="C286">
        <v>95</v>
      </c>
      <c r="D286" t="s">
        <v>544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1.2</v>
      </c>
      <c r="M286">
        <v>1</v>
      </c>
      <c r="N286">
        <v>1</v>
      </c>
      <c r="O286">
        <v>1</v>
      </c>
    </row>
    <row r="287" spans="1:15" x14ac:dyDescent="0.2">
      <c r="A287" t="s">
        <v>545</v>
      </c>
      <c r="B287" t="s">
        <v>546</v>
      </c>
      <c r="C287">
        <v>250</v>
      </c>
      <c r="D287" t="s">
        <v>544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1.2</v>
      </c>
      <c r="M287">
        <v>1</v>
      </c>
      <c r="N287">
        <v>1</v>
      </c>
      <c r="O287">
        <v>1</v>
      </c>
    </row>
    <row r="288" spans="1:15" x14ac:dyDescent="0.2">
      <c r="A288" t="s">
        <v>547</v>
      </c>
      <c r="B288" t="s">
        <v>548</v>
      </c>
      <c r="C288">
        <v>375</v>
      </c>
      <c r="D288" t="s">
        <v>26</v>
      </c>
      <c r="E288">
        <v>1</v>
      </c>
      <c r="F288">
        <v>1.4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 x14ac:dyDescent="0.2">
      <c r="A289" t="s">
        <v>549</v>
      </c>
      <c r="B289" t="s">
        <v>550</v>
      </c>
      <c r="C289">
        <v>200</v>
      </c>
      <c r="D289" t="s">
        <v>16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 x14ac:dyDescent="0.2">
      <c r="A290" t="s">
        <v>551</v>
      </c>
      <c r="B290" t="s">
        <v>552</v>
      </c>
      <c r="C290">
        <v>1</v>
      </c>
      <c r="D290" t="s">
        <v>16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 x14ac:dyDescent="0.2">
      <c r="A291" t="s">
        <v>553</v>
      </c>
      <c r="B291" t="s">
        <v>554</v>
      </c>
      <c r="C291">
        <v>1</v>
      </c>
      <c r="D291" t="s">
        <v>16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</row>
    <row r="292" spans="1:15" x14ac:dyDescent="0.2">
      <c r="A292" t="s">
        <v>555</v>
      </c>
      <c r="B292" t="s">
        <v>556</v>
      </c>
      <c r="C292">
        <v>1</v>
      </c>
      <c r="D292" t="s">
        <v>16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</row>
    <row r="293" spans="1:15" x14ac:dyDescent="0.2">
      <c r="A293" t="s">
        <v>557</v>
      </c>
      <c r="B293" t="s">
        <v>558</v>
      </c>
      <c r="C293">
        <v>1</v>
      </c>
      <c r="D293" t="s">
        <v>16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</row>
    <row r="294" spans="1:15" x14ac:dyDescent="0.2">
      <c r="A294" t="s">
        <v>559</v>
      </c>
      <c r="B294" t="s">
        <v>560</v>
      </c>
      <c r="C294">
        <v>100</v>
      </c>
      <c r="D294" t="s">
        <v>16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</row>
    <row r="295" spans="1:15" x14ac:dyDescent="0.2">
      <c r="A295" t="s">
        <v>1834</v>
      </c>
      <c r="B295" t="s">
        <v>1835</v>
      </c>
      <c r="C295">
        <v>1000</v>
      </c>
      <c r="D295" t="s">
        <v>16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</row>
    <row r="296" spans="1:15" x14ac:dyDescent="0.2">
      <c r="A296" t="s">
        <v>561</v>
      </c>
      <c r="B296" t="s">
        <v>562</v>
      </c>
      <c r="C296">
        <v>50</v>
      </c>
      <c r="D296" t="s">
        <v>16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</row>
    <row r="297" spans="1:15" x14ac:dyDescent="0.2">
      <c r="A297" t="s">
        <v>563</v>
      </c>
      <c r="B297" t="s">
        <v>564</v>
      </c>
      <c r="C297">
        <v>50</v>
      </c>
      <c r="D297" t="s">
        <v>23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1.3</v>
      </c>
      <c r="L297">
        <v>1</v>
      </c>
      <c r="M297">
        <v>1</v>
      </c>
      <c r="N297">
        <v>1</v>
      </c>
      <c r="O297">
        <v>1</v>
      </c>
    </row>
    <row r="298" spans="1:15" x14ac:dyDescent="0.2">
      <c r="A298" t="s">
        <v>565</v>
      </c>
      <c r="B298" t="s">
        <v>566</v>
      </c>
      <c r="C298">
        <v>0</v>
      </c>
      <c r="D298" t="s">
        <v>16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</row>
    <row r="299" spans="1:15" x14ac:dyDescent="0.2">
      <c r="A299" t="s">
        <v>567</v>
      </c>
      <c r="B299" t="s">
        <v>568</v>
      </c>
      <c r="C299">
        <v>85</v>
      </c>
      <c r="D299" t="s">
        <v>147</v>
      </c>
      <c r="E299">
        <v>1.5</v>
      </c>
      <c r="F299">
        <v>1</v>
      </c>
      <c r="G299">
        <v>1</v>
      </c>
      <c r="H299">
        <v>1</v>
      </c>
      <c r="I299">
        <v>1.25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</row>
    <row r="300" spans="1:15" x14ac:dyDescent="0.2">
      <c r="A300" t="s">
        <v>569</v>
      </c>
      <c r="B300" t="s">
        <v>570</v>
      </c>
      <c r="C300">
        <v>127</v>
      </c>
      <c r="D300" t="s">
        <v>16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</row>
    <row r="301" spans="1:15" x14ac:dyDescent="0.2">
      <c r="A301" t="s">
        <v>571</v>
      </c>
      <c r="B301" t="s">
        <v>572</v>
      </c>
      <c r="C301">
        <v>50</v>
      </c>
      <c r="D301" t="s">
        <v>544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1.2</v>
      </c>
      <c r="M301">
        <v>1</v>
      </c>
      <c r="N301">
        <v>1</v>
      </c>
      <c r="O301">
        <v>1</v>
      </c>
    </row>
    <row r="302" spans="1:15" x14ac:dyDescent="0.2">
      <c r="A302" t="s">
        <v>573</v>
      </c>
      <c r="B302" t="s">
        <v>574</v>
      </c>
      <c r="C302">
        <v>50</v>
      </c>
      <c r="D302" t="s">
        <v>544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1.2</v>
      </c>
      <c r="M302">
        <v>1</v>
      </c>
      <c r="N302">
        <v>1</v>
      </c>
      <c r="O302">
        <v>1</v>
      </c>
    </row>
    <row r="303" spans="1:15" x14ac:dyDescent="0.2">
      <c r="A303" t="s">
        <v>575</v>
      </c>
      <c r="B303" t="s">
        <v>576</v>
      </c>
      <c r="C303">
        <v>60</v>
      </c>
      <c r="D303" t="s">
        <v>155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1.2</v>
      </c>
    </row>
    <row r="304" spans="1:15" x14ac:dyDescent="0.2">
      <c r="A304" t="s">
        <v>577</v>
      </c>
      <c r="B304" t="s">
        <v>578</v>
      </c>
      <c r="C304">
        <v>170</v>
      </c>
      <c r="D304" t="s">
        <v>26</v>
      </c>
      <c r="E304">
        <v>1</v>
      </c>
      <c r="F304">
        <v>1.4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</row>
    <row r="305" spans="1:15" x14ac:dyDescent="0.2">
      <c r="A305" t="s">
        <v>579</v>
      </c>
      <c r="B305" t="s">
        <v>580</v>
      </c>
      <c r="C305">
        <v>200</v>
      </c>
      <c r="D305" t="s">
        <v>152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</row>
    <row r="306" spans="1:15" x14ac:dyDescent="0.2">
      <c r="A306" t="s">
        <v>581</v>
      </c>
      <c r="B306" t="s">
        <v>582</v>
      </c>
      <c r="C306">
        <v>10</v>
      </c>
      <c r="D306" t="s">
        <v>16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</row>
    <row r="307" spans="1:15" x14ac:dyDescent="0.2">
      <c r="A307" t="s">
        <v>583</v>
      </c>
      <c r="B307" t="s">
        <v>584</v>
      </c>
      <c r="C307">
        <v>200</v>
      </c>
      <c r="D307" t="s">
        <v>16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</row>
    <row r="308" spans="1:15" x14ac:dyDescent="0.2">
      <c r="A308" t="s">
        <v>585</v>
      </c>
      <c r="B308" t="s">
        <v>586</v>
      </c>
      <c r="C308">
        <v>250</v>
      </c>
      <c r="D308" t="s">
        <v>23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1.3</v>
      </c>
      <c r="L308">
        <v>1</v>
      </c>
      <c r="M308">
        <v>1</v>
      </c>
      <c r="N308">
        <v>1</v>
      </c>
      <c r="O308">
        <v>1</v>
      </c>
    </row>
    <row r="309" spans="1:15" x14ac:dyDescent="0.2">
      <c r="A309" t="s">
        <v>587</v>
      </c>
      <c r="B309" t="s">
        <v>588</v>
      </c>
      <c r="C309">
        <v>600</v>
      </c>
      <c r="D309" t="s">
        <v>16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</row>
    <row r="310" spans="1:15" x14ac:dyDescent="0.2">
      <c r="A310" t="s">
        <v>589</v>
      </c>
      <c r="B310" t="s">
        <v>590</v>
      </c>
      <c r="C310">
        <v>500</v>
      </c>
      <c r="D310" t="s">
        <v>16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</row>
    <row r="311" spans="1:15" x14ac:dyDescent="0.2">
      <c r="A311" t="s">
        <v>591</v>
      </c>
      <c r="B311" t="s">
        <v>592</v>
      </c>
      <c r="C311">
        <v>200</v>
      </c>
      <c r="D311" t="s">
        <v>16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</row>
    <row r="312" spans="1:15" x14ac:dyDescent="0.2">
      <c r="A312" t="s">
        <v>593</v>
      </c>
      <c r="B312" t="s">
        <v>594</v>
      </c>
      <c r="C312">
        <v>125</v>
      </c>
      <c r="D312" t="s">
        <v>152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</row>
    <row r="313" spans="1:15" x14ac:dyDescent="0.2">
      <c r="A313" t="s">
        <v>595</v>
      </c>
      <c r="B313" t="s">
        <v>596</v>
      </c>
      <c r="C313">
        <v>100</v>
      </c>
      <c r="D313" t="s">
        <v>23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1.3</v>
      </c>
      <c r="L313">
        <v>1</v>
      </c>
      <c r="M313">
        <v>1</v>
      </c>
      <c r="N313">
        <v>1</v>
      </c>
      <c r="O313">
        <v>1</v>
      </c>
    </row>
    <row r="314" spans="1:15" x14ac:dyDescent="0.2">
      <c r="A314" t="s">
        <v>597</v>
      </c>
      <c r="B314" t="s">
        <v>598</v>
      </c>
      <c r="C314">
        <v>20</v>
      </c>
      <c r="D314" t="s">
        <v>16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</row>
    <row r="315" spans="1:15" x14ac:dyDescent="0.2">
      <c r="A315" t="s">
        <v>599</v>
      </c>
      <c r="B315" t="s">
        <v>600</v>
      </c>
      <c r="C315">
        <v>300</v>
      </c>
      <c r="D315" t="s">
        <v>16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</row>
    <row r="316" spans="1:15" x14ac:dyDescent="0.2">
      <c r="A316" t="s">
        <v>601</v>
      </c>
      <c r="B316" t="s">
        <v>602</v>
      </c>
      <c r="C316">
        <v>290</v>
      </c>
      <c r="D316" t="s">
        <v>291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1.2</v>
      </c>
    </row>
    <row r="317" spans="1:15" x14ac:dyDescent="0.2">
      <c r="A317" t="s">
        <v>603</v>
      </c>
      <c r="B317" t="s">
        <v>604</v>
      </c>
      <c r="C317">
        <v>680</v>
      </c>
      <c r="D317" t="s">
        <v>26</v>
      </c>
      <c r="E317">
        <v>1</v>
      </c>
      <c r="F317">
        <v>1.4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</row>
    <row r="318" spans="1:15" x14ac:dyDescent="0.2">
      <c r="A318" t="s">
        <v>605</v>
      </c>
      <c r="B318" t="s">
        <v>606</v>
      </c>
      <c r="C318">
        <v>100</v>
      </c>
      <c r="D318" t="s">
        <v>16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</row>
    <row r="319" spans="1:15" x14ac:dyDescent="0.2">
      <c r="A319" t="s">
        <v>607</v>
      </c>
      <c r="B319" t="s">
        <v>608</v>
      </c>
      <c r="C319">
        <v>250</v>
      </c>
      <c r="D319" t="s">
        <v>23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1.3</v>
      </c>
      <c r="L319">
        <v>1</v>
      </c>
      <c r="M319">
        <v>1</v>
      </c>
      <c r="N319">
        <v>1</v>
      </c>
      <c r="O319">
        <v>1</v>
      </c>
    </row>
    <row r="320" spans="1:15" x14ac:dyDescent="0.2">
      <c r="A320" t="s">
        <v>609</v>
      </c>
      <c r="B320" t="s">
        <v>610</v>
      </c>
      <c r="C320">
        <v>45</v>
      </c>
      <c r="D320" t="s">
        <v>16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</row>
    <row r="321" spans="1:15" x14ac:dyDescent="0.2">
      <c r="A321" t="s">
        <v>1836</v>
      </c>
      <c r="B321" t="s">
        <v>1837</v>
      </c>
      <c r="C321">
        <v>500</v>
      </c>
      <c r="D321" t="s">
        <v>16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</row>
    <row r="322" spans="1:15" x14ac:dyDescent="0.2">
      <c r="A322" t="s">
        <v>611</v>
      </c>
      <c r="B322" t="s">
        <v>612</v>
      </c>
      <c r="C322">
        <v>150</v>
      </c>
      <c r="D322" t="s">
        <v>152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</row>
    <row r="323" spans="1:15" x14ac:dyDescent="0.2">
      <c r="A323" t="s">
        <v>613</v>
      </c>
      <c r="B323" t="s">
        <v>614</v>
      </c>
      <c r="C323">
        <v>1</v>
      </c>
      <c r="D323" t="s">
        <v>16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</row>
    <row r="324" spans="1:15" x14ac:dyDescent="0.2">
      <c r="A324" t="s">
        <v>615</v>
      </c>
      <c r="B324" t="s">
        <v>616</v>
      </c>
      <c r="C324">
        <v>5</v>
      </c>
      <c r="D324" t="s">
        <v>16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 x14ac:dyDescent="0.2">
      <c r="A325" t="s">
        <v>617</v>
      </c>
      <c r="B325" t="s">
        <v>618</v>
      </c>
      <c r="C325">
        <v>90</v>
      </c>
      <c r="D325" t="s">
        <v>155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1.2</v>
      </c>
    </row>
    <row r="326" spans="1:15" x14ac:dyDescent="0.2">
      <c r="A326" t="s">
        <v>619</v>
      </c>
      <c r="B326" t="s">
        <v>620</v>
      </c>
      <c r="C326">
        <v>230</v>
      </c>
      <c r="D326" t="s">
        <v>26</v>
      </c>
      <c r="E326">
        <v>1</v>
      </c>
      <c r="F326">
        <v>1.4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</row>
    <row r="327" spans="1:15" x14ac:dyDescent="0.2">
      <c r="A327" t="s">
        <v>621</v>
      </c>
      <c r="B327" t="s">
        <v>622</v>
      </c>
      <c r="C327">
        <v>350</v>
      </c>
      <c r="D327" t="s">
        <v>152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</row>
    <row r="328" spans="1:15" x14ac:dyDescent="0.2">
      <c r="A328" t="s">
        <v>623</v>
      </c>
      <c r="B328" t="s">
        <v>624</v>
      </c>
      <c r="C328">
        <v>20</v>
      </c>
      <c r="D328" t="s">
        <v>16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</row>
    <row r="329" spans="1:15" x14ac:dyDescent="0.2">
      <c r="A329" t="s">
        <v>625</v>
      </c>
      <c r="B329" t="s">
        <v>626</v>
      </c>
      <c r="C329">
        <v>350</v>
      </c>
      <c r="D329" t="s">
        <v>23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1.3</v>
      </c>
      <c r="L329">
        <v>1</v>
      </c>
      <c r="M329">
        <v>1</v>
      </c>
      <c r="N329">
        <v>1</v>
      </c>
      <c r="O329">
        <v>1</v>
      </c>
    </row>
    <row r="330" spans="1:15" x14ac:dyDescent="0.2">
      <c r="A330" t="s">
        <v>627</v>
      </c>
      <c r="B330" t="s">
        <v>628</v>
      </c>
      <c r="C330">
        <v>100</v>
      </c>
      <c r="D330" t="s">
        <v>23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1.3</v>
      </c>
      <c r="L330">
        <v>1</v>
      </c>
      <c r="M330">
        <v>1</v>
      </c>
      <c r="N330">
        <v>1</v>
      </c>
      <c r="O330">
        <v>1</v>
      </c>
    </row>
    <row r="331" spans="1:15" x14ac:dyDescent="0.2">
      <c r="A331" t="s">
        <v>629</v>
      </c>
      <c r="B331" t="s">
        <v>630</v>
      </c>
      <c r="C331">
        <v>50</v>
      </c>
      <c r="D331" t="s">
        <v>16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</row>
    <row r="332" spans="1:15" x14ac:dyDescent="0.2">
      <c r="A332" t="s">
        <v>631</v>
      </c>
      <c r="B332" t="s">
        <v>632</v>
      </c>
      <c r="C332">
        <v>50</v>
      </c>
      <c r="D332" t="s">
        <v>16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</row>
    <row r="333" spans="1:15" x14ac:dyDescent="0.2">
      <c r="A333" t="s">
        <v>633</v>
      </c>
      <c r="B333" t="s">
        <v>634</v>
      </c>
      <c r="C333">
        <v>50</v>
      </c>
      <c r="D333" t="s">
        <v>16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</row>
    <row r="334" spans="1:15" x14ac:dyDescent="0.2">
      <c r="A334" t="s">
        <v>635</v>
      </c>
      <c r="B334" t="s">
        <v>636</v>
      </c>
      <c r="C334">
        <v>175</v>
      </c>
      <c r="D334" t="s">
        <v>152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</row>
    <row r="335" spans="1:15" x14ac:dyDescent="0.2">
      <c r="A335" t="s">
        <v>637</v>
      </c>
      <c r="B335" t="s">
        <v>638</v>
      </c>
      <c r="C335">
        <v>500</v>
      </c>
      <c r="D335" t="s">
        <v>152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</row>
    <row r="336" spans="1:15" x14ac:dyDescent="0.2">
      <c r="A336" t="s">
        <v>639</v>
      </c>
      <c r="B336" t="s">
        <v>640</v>
      </c>
      <c r="C336">
        <v>100</v>
      </c>
      <c r="D336" t="s">
        <v>147</v>
      </c>
      <c r="E336">
        <v>1.5</v>
      </c>
      <c r="F336">
        <v>1</v>
      </c>
      <c r="G336">
        <v>1</v>
      </c>
      <c r="H336">
        <v>1</v>
      </c>
      <c r="I336">
        <v>1.25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</row>
    <row r="337" spans="1:15" x14ac:dyDescent="0.2">
      <c r="A337" t="s">
        <v>641</v>
      </c>
      <c r="B337" t="s">
        <v>642</v>
      </c>
      <c r="C337">
        <v>150</v>
      </c>
      <c r="D337" t="s">
        <v>16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</row>
    <row r="338" spans="1:15" x14ac:dyDescent="0.2">
      <c r="A338" t="s">
        <v>643</v>
      </c>
      <c r="B338" t="s">
        <v>644</v>
      </c>
      <c r="C338">
        <v>200</v>
      </c>
      <c r="D338" t="s">
        <v>23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1.3</v>
      </c>
      <c r="L338">
        <v>1</v>
      </c>
      <c r="M338">
        <v>1</v>
      </c>
      <c r="N338">
        <v>1</v>
      </c>
      <c r="O338">
        <v>1</v>
      </c>
    </row>
    <row r="339" spans="1:15" x14ac:dyDescent="0.2">
      <c r="A339" t="s">
        <v>645</v>
      </c>
      <c r="B339" t="s">
        <v>646</v>
      </c>
      <c r="C339">
        <v>100</v>
      </c>
      <c r="D339" t="s">
        <v>16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</row>
    <row r="340" spans="1:15" x14ac:dyDescent="0.2">
      <c r="A340" t="s">
        <v>647</v>
      </c>
      <c r="B340" t="s">
        <v>648</v>
      </c>
      <c r="C340">
        <v>100</v>
      </c>
      <c r="D340" t="s">
        <v>16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</row>
    <row r="341" spans="1:15" x14ac:dyDescent="0.2">
      <c r="A341" t="s">
        <v>649</v>
      </c>
      <c r="B341" t="s">
        <v>650</v>
      </c>
      <c r="C341">
        <v>100</v>
      </c>
      <c r="D341" t="s">
        <v>16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</row>
    <row r="342" spans="1:15" x14ac:dyDescent="0.2">
      <c r="A342" t="s">
        <v>651</v>
      </c>
      <c r="B342" t="s">
        <v>652</v>
      </c>
      <c r="C342">
        <v>100</v>
      </c>
      <c r="D342" t="s">
        <v>16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 x14ac:dyDescent="0.2">
      <c r="A343" t="s">
        <v>653</v>
      </c>
      <c r="B343" t="s">
        <v>654</v>
      </c>
      <c r="C343">
        <v>100</v>
      </c>
      <c r="D343" t="s">
        <v>16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 x14ac:dyDescent="0.2">
      <c r="A344" t="s">
        <v>655</v>
      </c>
      <c r="B344" t="s">
        <v>656</v>
      </c>
      <c r="C344">
        <v>100</v>
      </c>
      <c r="D344" t="s">
        <v>16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</row>
    <row r="345" spans="1:15" x14ac:dyDescent="0.2">
      <c r="A345" t="s">
        <v>657</v>
      </c>
      <c r="B345" t="s">
        <v>658</v>
      </c>
      <c r="C345">
        <v>150</v>
      </c>
      <c r="D345" t="s">
        <v>152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 x14ac:dyDescent="0.2">
      <c r="A346" t="s">
        <v>659</v>
      </c>
      <c r="B346" t="s">
        <v>660</v>
      </c>
      <c r="C346">
        <v>120</v>
      </c>
      <c r="D346" t="s">
        <v>152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</row>
    <row r="347" spans="1:15" x14ac:dyDescent="0.2">
      <c r="A347" t="s">
        <v>661</v>
      </c>
      <c r="B347" t="s">
        <v>662</v>
      </c>
      <c r="C347">
        <v>35</v>
      </c>
      <c r="D347" t="s">
        <v>152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</row>
    <row r="348" spans="1:15" x14ac:dyDescent="0.2">
      <c r="A348" t="s">
        <v>663</v>
      </c>
      <c r="B348" t="s">
        <v>664</v>
      </c>
      <c r="C348">
        <v>200</v>
      </c>
      <c r="D348" t="s">
        <v>152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</row>
    <row r="349" spans="1:15" x14ac:dyDescent="0.2">
      <c r="A349" t="s">
        <v>1838</v>
      </c>
      <c r="B349" t="s">
        <v>1839</v>
      </c>
      <c r="C349">
        <v>3000</v>
      </c>
      <c r="D349" t="s">
        <v>16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</row>
    <row r="350" spans="1:15" x14ac:dyDescent="0.2">
      <c r="A350" t="s">
        <v>665</v>
      </c>
      <c r="B350" t="s">
        <v>666</v>
      </c>
      <c r="C350">
        <v>100</v>
      </c>
      <c r="D350" t="s">
        <v>16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</row>
    <row r="351" spans="1:15" x14ac:dyDescent="0.2">
      <c r="A351" t="s">
        <v>667</v>
      </c>
      <c r="B351" t="s">
        <v>668</v>
      </c>
      <c r="C351">
        <v>75</v>
      </c>
      <c r="D351" t="s">
        <v>23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1.3</v>
      </c>
      <c r="L351">
        <v>1</v>
      </c>
      <c r="M351">
        <v>1</v>
      </c>
      <c r="N351">
        <v>1</v>
      </c>
      <c r="O351">
        <v>1</v>
      </c>
    </row>
    <row r="352" spans="1:15" x14ac:dyDescent="0.2">
      <c r="A352" t="s">
        <v>669</v>
      </c>
      <c r="B352" t="s">
        <v>670</v>
      </c>
      <c r="C352">
        <v>450</v>
      </c>
      <c r="D352" t="s">
        <v>152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</row>
    <row r="353" spans="1:15" x14ac:dyDescent="0.2">
      <c r="A353" t="s">
        <v>671</v>
      </c>
      <c r="B353" t="s">
        <v>672</v>
      </c>
      <c r="C353">
        <v>5000</v>
      </c>
      <c r="D353" t="s">
        <v>16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</row>
    <row r="354" spans="1:15" x14ac:dyDescent="0.2">
      <c r="A354" t="s">
        <v>673</v>
      </c>
      <c r="B354" t="s">
        <v>674</v>
      </c>
      <c r="C354">
        <v>60</v>
      </c>
      <c r="D354" t="s">
        <v>155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1.2</v>
      </c>
    </row>
    <row r="355" spans="1:15" x14ac:dyDescent="0.2">
      <c r="A355" t="s">
        <v>675</v>
      </c>
      <c r="B355" t="s">
        <v>676</v>
      </c>
      <c r="C355">
        <v>170</v>
      </c>
      <c r="D355" t="s">
        <v>26</v>
      </c>
      <c r="E355">
        <v>1</v>
      </c>
      <c r="F355">
        <v>1.4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</row>
    <row r="356" spans="1:15" x14ac:dyDescent="0.2">
      <c r="A356" t="s">
        <v>677</v>
      </c>
      <c r="B356" t="s">
        <v>678</v>
      </c>
      <c r="C356">
        <v>20</v>
      </c>
      <c r="D356" t="s">
        <v>16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</row>
    <row r="357" spans="1:15" x14ac:dyDescent="0.2">
      <c r="A357" t="s">
        <v>679</v>
      </c>
      <c r="B357" t="s">
        <v>680</v>
      </c>
      <c r="C357">
        <v>4</v>
      </c>
      <c r="D357" t="s">
        <v>16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</row>
    <row r="358" spans="1:15" x14ac:dyDescent="0.2">
      <c r="A358" t="s">
        <v>681</v>
      </c>
      <c r="B358" t="s">
        <v>682</v>
      </c>
      <c r="C358">
        <v>150</v>
      </c>
      <c r="D358" t="s">
        <v>23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1.3</v>
      </c>
      <c r="L358">
        <v>1</v>
      </c>
      <c r="M358">
        <v>1</v>
      </c>
      <c r="N358">
        <v>1</v>
      </c>
      <c r="O358">
        <v>1</v>
      </c>
    </row>
    <row r="359" spans="1:15" x14ac:dyDescent="0.2">
      <c r="A359" t="s">
        <v>683</v>
      </c>
      <c r="B359" t="s">
        <v>684</v>
      </c>
      <c r="C359">
        <v>50</v>
      </c>
      <c r="D359" t="s">
        <v>16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</row>
    <row r="360" spans="1:15" x14ac:dyDescent="0.2">
      <c r="A360" t="s">
        <v>685</v>
      </c>
      <c r="B360" t="s">
        <v>686</v>
      </c>
      <c r="C360">
        <v>200</v>
      </c>
      <c r="D360" t="s">
        <v>23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1.3</v>
      </c>
      <c r="L360">
        <v>1</v>
      </c>
      <c r="M360">
        <v>1</v>
      </c>
      <c r="N360">
        <v>1</v>
      </c>
      <c r="O360">
        <v>1</v>
      </c>
    </row>
    <row r="361" spans="1:15" x14ac:dyDescent="0.2">
      <c r="A361" t="s">
        <v>687</v>
      </c>
      <c r="B361" t="s">
        <v>688</v>
      </c>
      <c r="C361">
        <v>45</v>
      </c>
      <c r="D361" t="s">
        <v>147</v>
      </c>
      <c r="E361">
        <v>1.5</v>
      </c>
      <c r="F361">
        <v>1</v>
      </c>
      <c r="G361">
        <v>1</v>
      </c>
      <c r="H361">
        <v>1</v>
      </c>
      <c r="I361">
        <v>1.25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</row>
    <row r="362" spans="1:15" x14ac:dyDescent="0.2">
      <c r="A362" t="s">
        <v>689</v>
      </c>
      <c r="B362" t="s">
        <v>690</v>
      </c>
      <c r="C362">
        <v>67</v>
      </c>
      <c r="D362" t="s">
        <v>16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</row>
    <row r="363" spans="1:15" x14ac:dyDescent="0.2">
      <c r="A363" t="s">
        <v>691</v>
      </c>
      <c r="B363" t="s">
        <v>692</v>
      </c>
      <c r="C363">
        <v>60</v>
      </c>
      <c r="D363" t="s">
        <v>291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</row>
    <row r="364" spans="1:15" x14ac:dyDescent="0.2">
      <c r="A364" t="s">
        <v>693</v>
      </c>
      <c r="B364" t="s">
        <v>694</v>
      </c>
      <c r="C364">
        <v>200</v>
      </c>
      <c r="D364" t="s">
        <v>152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 x14ac:dyDescent="0.2">
      <c r="A365" t="s">
        <v>695</v>
      </c>
      <c r="B365" t="s">
        <v>696</v>
      </c>
      <c r="C365">
        <v>1000</v>
      </c>
      <c r="D365" t="s">
        <v>147</v>
      </c>
      <c r="E365">
        <v>1.5</v>
      </c>
      <c r="F365">
        <v>1</v>
      </c>
      <c r="G365">
        <v>1</v>
      </c>
      <c r="H365">
        <v>1</v>
      </c>
      <c r="I365">
        <v>1.25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 x14ac:dyDescent="0.2">
      <c r="A366" t="s">
        <v>697</v>
      </c>
      <c r="B366" t="s">
        <v>698</v>
      </c>
      <c r="C366">
        <v>1000</v>
      </c>
      <c r="D366" t="s">
        <v>147</v>
      </c>
      <c r="E366">
        <v>1.5</v>
      </c>
      <c r="F366">
        <v>1</v>
      </c>
      <c r="G366">
        <v>1</v>
      </c>
      <c r="H366">
        <v>1</v>
      </c>
      <c r="I366">
        <v>1.25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 x14ac:dyDescent="0.2">
      <c r="A367" t="s">
        <v>699</v>
      </c>
      <c r="B367" t="s">
        <v>700</v>
      </c>
      <c r="C367">
        <v>20</v>
      </c>
      <c r="D367" t="s">
        <v>16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</row>
    <row r="368" spans="1:15" x14ac:dyDescent="0.2">
      <c r="A368" t="s">
        <v>701</v>
      </c>
      <c r="B368" t="s">
        <v>702</v>
      </c>
      <c r="C368">
        <v>200</v>
      </c>
      <c r="D368" t="s">
        <v>152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</row>
    <row r="369" spans="1:15" x14ac:dyDescent="0.2">
      <c r="A369" t="s">
        <v>703</v>
      </c>
      <c r="B369" t="s">
        <v>704</v>
      </c>
      <c r="C369">
        <v>200</v>
      </c>
      <c r="D369" t="s">
        <v>16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</row>
    <row r="370" spans="1:15" x14ac:dyDescent="0.2">
      <c r="A370" t="s">
        <v>705</v>
      </c>
      <c r="B370" t="s">
        <v>706</v>
      </c>
      <c r="C370">
        <v>200</v>
      </c>
      <c r="D370" t="s">
        <v>16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</row>
    <row r="371" spans="1:15" x14ac:dyDescent="0.2">
      <c r="A371" t="s">
        <v>707</v>
      </c>
      <c r="B371" t="s">
        <v>708</v>
      </c>
      <c r="C371">
        <v>400</v>
      </c>
      <c r="D371" t="s">
        <v>26</v>
      </c>
      <c r="E371">
        <v>1</v>
      </c>
      <c r="F371">
        <v>1.4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</row>
    <row r="372" spans="1:15" x14ac:dyDescent="0.2">
      <c r="A372" t="s">
        <v>709</v>
      </c>
      <c r="B372" t="s">
        <v>710</v>
      </c>
      <c r="C372">
        <v>225</v>
      </c>
      <c r="D372" t="s">
        <v>544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1.2</v>
      </c>
      <c r="M372">
        <v>1</v>
      </c>
      <c r="N372">
        <v>1</v>
      </c>
      <c r="O372">
        <v>1</v>
      </c>
    </row>
    <row r="373" spans="1:15" x14ac:dyDescent="0.2">
      <c r="A373" t="s">
        <v>1840</v>
      </c>
      <c r="B373" t="s">
        <v>1841</v>
      </c>
      <c r="C373">
        <v>150</v>
      </c>
      <c r="D373" t="s">
        <v>147</v>
      </c>
      <c r="E373">
        <v>1.5</v>
      </c>
      <c r="F373">
        <v>1</v>
      </c>
      <c r="G373">
        <v>1</v>
      </c>
      <c r="H373">
        <v>1</v>
      </c>
      <c r="I373">
        <v>1.25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</row>
    <row r="374" spans="1:15" x14ac:dyDescent="0.2">
      <c r="A374" t="s">
        <v>1842</v>
      </c>
      <c r="B374" t="s">
        <v>1843</v>
      </c>
      <c r="C374">
        <v>225</v>
      </c>
      <c r="D374" t="s">
        <v>16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</row>
    <row r="375" spans="1:15" x14ac:dyDescent="0.2">
      <c r="A375" t="s">
        <v>711</v>
      </c>
      <c r="B375" t="s">
        <v>712</v>
      </c>
      <c r="C375">
        <v>250</v>
      </c>
      <c r="D375" t="s">
        <v>16</v>
      </c>
      <c r="E375">
        <v>1</v>
      </c>
      <c r="F375">
        <v>1</v>
      </c>
      <c r="G375">
        <v>1</v>
      </c>
      <c r="H375">
        <v>1.5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</row>
    <row r="376" spans="1:15" x14ac:dyDescent="0.2">
      <c r="A376" t="s">
        <v>1844</v>
      </c>
      <c r="B376" t="s">
        <v>1845</v>
      </c>
      <c r="C376">
        <v>1</v>
      </c>
      <c r="D376" t="s">
        <v>16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</row>
    <row r="377" spans="1:15" x14ac:dyDescent="0.2">
      <c r="A377" t="s">
        <v>713</v>
      </c>
      <c r="B377" t="s">
        <v>714</v>
      </c>
      <c r="C377">
        <v>25</v>
      </c>
      <c r="D377" t="s">
        <v>16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</row>
    <row r="378" spans="1:15" x14ac:dyDescent="0.2">
      <c r="A378" t="s">
        <v>1846</v>
      </c>
      <c r="B378" t="s">
        <v>1847</v>
      </c>
      <c r="C378">
        <v>1000</v>
      </c>
      <c r="D378" t="s">
        <v>16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</row>
    <row r="379" spans="1:15" x14ac:dyDescent="0.2">
      <c r="A379" t="s">
        <v>1848</v>
      </c>
      <c r="B379" t="s">
        <v>1849</v>
      </c>
      <c r="C379">
        <v>0</v>
      </c>
      <c r="D379" t="s">
        <v>16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</row>
    <row r="380" spans="1:15" x14ac:dyDescent="0.2">
      <c r="A380" t="s">
        <v>715</v>
      </c>
      <c r="B380" t="s">
        <v>716</v>
      </c>
      <c r="C380">
        <v>0</v>
      </c>
      <c r="D380" t="s">
        <v>16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</row>
    <row r="381" spans="1:15" x14ac:dyDescent="0.2">
      <c r="A381" t="s">
        <v>717</v>
      </c>
      <c r="B381" t="s">
        <v>718</v>
      </c>
      <c r="C381">
        <v>500</v>
      </c>
      <c r="D381" t="s">
        <v>544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1.2</v>
      </c>
      <c r="M381">
        <v>1</v>
      </c>
      <c r="N381">
        <v>1</v>
      </c>
      <c r="O381">
        <v>1</v>
      </c>
    </row>
    <row r="382" spans="1:15" x14ac:dyDescent="0.2">
      <c r="A382" t="s">
        <v>719</v>
      </c>
      <c r="B382" t="s">
        <v>720</v>
      </c>
      <c r="C382">
        <v>500</v>
      </c>
      <c r="D382" t="s">
        <v>16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</row>
    <row r="383" spans="1:15" x14ac:dyDescent="0.2">
      <c r="A383" t="s">
        <v>1850</v>
      </c>
      <c r="B383" t="s">
        <v>1851</v>
      </c>
      <c r="C383">
        <v>0</v>
      </c>
      <c r="D383" t="s">
        <v>16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</row>
    <row r="384" spans="1:15" x14ac:dyDescent="0.2">
      <c r="A384" t="s">
        <v>721</v>
      </c>
      <c r="B384" t="s">
        <v>722</v>
      </c>
      <c r="C384">
        <v>2500</v>
      </c>
      <c r="D384" t="s">
        <v>16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</row>
    <row r="385" spans="1:15" x14ac:dyDescent="0.2">
      <c r="A385" t="s">
        <v>723</v>
      </c>
      <c r="B385" t="s">
        <v>724</v>
      </c>
      <c r="C385">
        <v>250</v>
      </c>
      <c r="D385" t="s">
        <v>16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</row>
    <row r="386" spans="1:15" x14ac:dyDescent="0.2">
      <c r="A386" t="s">
        <v>1852</v>
      </c>
      <c r="B386" t="s">
        <v>1853</v>
      </c>
      <c r="C386">
        <v>0</v>
      </c>
      <c r="D386" t="s">
        <v>16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</row>
    <row r="387" spans="1:15" x14ac:dyDescent="0.2">
      <c r="A387" t="s">
        <v>725</v>
      </c>
      <c r="B387" t="s">
        <v>726</v>
      </c>
      <c r="C387">
        <v>250</v>
      </c>
      <c r="D387" t="s">
        <v>16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</row>
    <row r="388" spans="1:15" x14ac:dyDescent="0.2">
      <c r="A388" t="s">
        <v>727</v>
      </c>
      <c r="B388" t="s">
        <v>728</v>
      </c>
      <c r="C388">
        <v>0</v>
      </c>
      <c r="D388" t="s">
        <v>16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</row>
    <row r="389" spans="1:15" x14ac:dyDescent="0.2">
      <c r="A389" t="s">
        <v>729</v>
      </c>
      <c r="B389" t="s">
        <v>730</v>
      </c>
      <c r="C389">
        <v>75</v>
      </c>
      <c r="D389" t="s">
        <v>23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1.3</v>
      </c>
      <c r="L389">
        <v>1</v>
      </c>
      <c r="M389">
        <v>1</v>
      </c>
      <c r="N389">
        <v>1</v>
      </c>
      <c r="O389">
        <v>1</v>
      </c>
    </row>
    <row r="390" spans="1:15" x14ac:dyDescent="0.2">
      <c r="A390" t="s">
        <v>731</v>
      </c>
      <c r="B390" t="s">
        <v>732</v>
      </c>
      <c r="C390">
        <v>80</v>
      </c>
      <c r="D390" t="s">
        <v>178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1.2</v>
      </c>
    </row>
    <row r="391" spans="1:15" x14ac:dyDescent="0.2">
      <c r="A391" t="s">
        <v>733</v>
      </c>
      <c r="B391" t="s">
        <v>734</v>
      </c>
      <c r="C391">
        <v>210</v>
      </c>
      <c r="D391" t="s">
        <v>26</v>
      </c>
      <c r="E391">
        <v>1</v>
      </c>
      <c r="F391">
        <v>1.4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</row>
    <row r="392" spans="1:15" x14ac:dyDescent="0.2">
      <c r="A392" t="s">
        <v>735</v>
      </c>
      <c r="B392" t="s">
        <v>736</v>
      </c>
      <c r="C392">
        <v>30</v>
      </c>
      <c r="D392" t="s">
        <v>16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</row>
    <row r="393" spans="1:15" x14ac:dyDescent="0.2">
      <c r="A393" t="s">
        <v>737</v>
      </c>
      <c r="B393" t="s">
        <v>738</v>
      </c>
      <c r="C393">
        <v>240</v>
      </c>
      <c r="D393" t="s">
        <v>26</v>
      </c>
      <c r="E393">
        <v>1</v>
      </c>
      <c r="F393">
        <v>1.4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</row>
    <row r="394" spans="1:15" x14ac:dyDescent="0.2">
      <c r="A394" t="s">
        <v>739</v>
      </c>
      <c r="B394" t="s">
        <v>740</v>
      </c>
      <c r="C394">
        <v>50</v>
      </c>
      <c r="D394" t="s">
        <v>16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</row>
    <row r="395" spans="1:15" x14ac:dyDescent="0.2">
      <c r="A395" t="s">
        <v>741</v>
      </c>
      <c r="B395" t="s">
        <v>742</v>
      </c>
      <c r="C395">
        <v>1</v>
      </c>
      <c r="D395" t="s">
        <v>16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</row>
    <row r="396" spans="1:15" x14ac:dyDescent="0.2">
      <c r="A396" t="s">
        <v>743</v>
      </c>
      <c r="B396" t="s">
        <v>744</v>
      </c>
      <c r="C396">
        <v>15</v>
      </c>
      <c r="D396" t="s">
        <v>16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</row>
    <row r="397" spans="1:15" x14ac:dyDescent="0.2">
      <c r="A397" t="s">
        <v>745</v>
      </c>
      <c r="B397" t="s">
        <v>746</v>
      </c>
      <c r="C397">
        <v>40</v>
      </c>
      <c r="D397" t="s">
        <v>155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1.2</v>
      </c>
    </row>
    <row r="398" spans="1:15" x14ac:dyDescent="0.2">
      <c r="A398" t="s">
        <v>747</v>
      </c>
      <c r="B398" t="s">
        <v>748</v>
      </c>
      <c r="C398">
        <v>130</v>
      </c>
      <c r="D398" t="s">
        <v>26</v>
      </c>
      <c r="E398">
        <v>1</v>
      </c>
      <c r="F398">
        <v>1.4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</row>
    <row r="399" spans="1:15" x14ac:dyDescent="0.2">
      <c r="A399" t="s">
        <v>749</v>
      </c>
      <c r="B399" t="s">
        <v>750</v>
      </c>
      <c r="C399">
        <v>1000</v>
      </c>
      <c r="D399" t="s">
        <v>16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 x14ac:dyDescent="0.2">
      <c r="A400" t="s">
        <v>751</v>
      </c>
      <c r="B400" t="s">
        <v>752</v>
      </c>
      <c r="C400">
        <v>100</v>
      </c>
      <c r="D400" t="s">
        <v>26</v>
      </c>
      <c r="E400">
        <v>1</v>
      </c>
      <c r="F400">
        <v>1.4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</row>
    <row r="401" spans="1:15" x14ac:dyDescent="0.2">
      <c r="A401" t="s">
        <v>1854</v>
      </c>
      <c r="B401" t="s">
        <v>1855</v>
      </c>
      <c r="C401">
        <v>0</v>
      </c>
      <c r="D401" t="s">
        <v>16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 x14ac:dyDescent="0.2">
      <c r="A402" t="s">
        <v>1856</v>
      </c>
      <c r="B402" t="s">
        <v>1857</v>
      </c>
      <c r="C402">
        <v>0</v>
      </c>
      <c r="D402" t="s">
        <v>16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</row>
    <row r="403" spans="1:15" x14ac:dyDescent="0.2">
      <c r="A403" t="s">
        <v>1858</v>
      </c>
      <c r="B403" t="s">
        <v>1859</v>
      </c>
      <c r="C403">
        <v>0</v>
      </c>
      <c r="D403" t="s">
        <v>16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 x14ac:dyDescent="0.2">
      <c r="A404" t="s">
        <v>1860</v>
      </c>
      <c r="B404" t="s">
        <v>1861</v>
      </c>
      <c r="C404">
        <v>0</v>
      </c>
      <c r="D404" t="s">
        <v>16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</row>
    <row r="405" spans="1:15" x14ac:dyDescent="0.2">
      <c r="A405" t="s">
        <v>1862</v>
      </c>
      <c r="B405" t="s">
        <v>1863</v>
      </c>
      <c r="C405">
        <v>0</v>
      </c>
      <c r="D405" t="s">
        <v>16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</row>
    <row r="406" spans="1:15" x14ac:dyDescent="0.2">
      <c r="A406" t="s">
        <v>1864</v>
      </c>
      <c r="B406" t="s">
        <v>1865</v>
      </c>
      <c r="C406">
        <v>0</v>
      </c>
      <c r="D406" t="s">
        <v>16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</row>
    <row r="407" spans="1:15" x14ac:dyDescent="0.2">
      <c r="A407" t="s">
        <v>1866</v>
      </c>
      <c r="B407" t="s">
        <v>1867</v>
      </c>
      <c r="C407">
        <v>0</v>
      </c>
      <c r="D407" t="s">
        <v>16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</row>
    <row r="408" spans="1:15" x14ac:dyDescent="0.2">
      <c r="A408" t="s">
        <v>1868</v>
      </c>
      <c r="B408" t="s">
        <v>1869</v>
      </c>
      <c r="C408">
        <v>0</v>
      </c>
      <c r="D408" t="s">
        <v>16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</row>
    <row r="409" spans="1:15" x14ac:dyDescent="0.2">
      <c r="A409" t="s">
        <v>1870</v>
      </c>
      <c r="B409" t="s">
        <v>1871</v>
      </c>
      <c r="C409">
        <v>0</v>
      </c>
      <c r="D409" t="s">
        <v>16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 x14ac:dyDescent="0.2">
      <c r="A410" t="s">
        <v>753</v>
      </c>
      <c r="B410" t="s">
        <v>754</v>
      </c>
      <c r="C410">
        <v>80</v>
      </c>
      <c r="D410" t="s">
        <v>147</v>
      </c>
      <c r="E410">
        <v>1.5</v>
      </c>
      <c r="F410">
        <v>1</v>
      </c>
      <c r="G410">
        <v>1</v>
      </c>
      <c r="H410">
        <v>1</v>
      </c>
      <c r="I410">
        <v>1.25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</row>
    <row r="411" spans="1:15" x14ac:dyDescent="0.2">
      <c r="A411" t="s">
        <v>755</v>
      </c>
      <c r="B411" t="s">
        <v>756</v>
      </c>
      <c r="C411">
        <v>120</v>
      </c>
      <c r="D411" t="s">
        <v>16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</row>
    <row r="412" spans="1:15" x14ac:dyDescent="0.2">
      <c r="A412" t="s">
        <v>757</v>
      </c>
      <c r="B412" t="s">
        <v>758</v>
      </c>
      <c r="C412">
        <v>15</v>
      </c>
      <c r="D412" t="s">
        <v>16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</row>
    <row r="413" spans="1:15" x14ac:dyDescent="0.2">
      <c r="A413" t="s">
        <v>759</v>
      </c>
      <c r="B413" t="s">
        <v>760</v>
      </c>
      <c r="C413">
        <v>10</v>
      </c>
      <c r="D413" t="s">
        <v>16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 x14ac:dyDescent="0.2">
      <c r="A414" t="s">
        <v>761</v>
      </c>
      <c r="B414" t="s">
        <v>762</v>
      </c>
      <c r="C414">
        <v>120</v>
      </c>
      <c r="D414" t="s">
        <v>152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 x14ac:dyDescent="0.2">
      <c r="A415" t="s">
        <v>763</v>
      </c>
      <c r="B415" t="s">
        <v>764</v>
      </c>
      <c r="C415">
        <v>0</v>
      </c>
      <c r="D415" t="s">
        <v>16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</row>
    <row r="416" spans="1:15" x14ac:dyDescent="0.2">
      <c r="A416" t="s">
        <v>765</v>
      </c>
      <c r="B416" t="s">
        <v>766</v>
      </c>
      <c r="C416">
        <v>90</v>
      </c>
      <c r="D416" t="s">
        <v>291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 x14ac:dyDescent="0.2">
      <c r="A417" t="s">
        <v>767</v>
      </c>
      <c r="B417" t="s">
        <v>768</v>
      </c>
      <c r="C417">
        <v>10</v>
      </c>
      <c r="D417" t="s">
        <v>16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 x14ac:dyDescent="0.2">
      <c r="A418" t="s">
        <v>769</v>
      </c>
      <c r="B418" t="s">
        <v>770</v>
      </c>
      <c r="C418">
        <v>450</v>
      </c>
      <c r="D418" t="s">
        <v>23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1.3</v>
      </c>
      <c r="L418">
        <v>1</v>
      </c>
      <c r="M418">
        <v>1</v>
      </c>
      <c r="N418">
        <v>1</v>
      </c>
      <c r="O418">
        <v>1</v>
      </c>
    </row>
    <row r="419" spans="1:15" x14ac:dyDescent="0.2">
      <c r="A419" t="s">
        <v>771</v>
      </c>
      <c r="B419" t="s">
        <v>772</v>
      </c>
      <c r="C419">
        <v>150</v>
      </c>
      <c r="D419" t="s">
        <v>23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1.3</v>
      </c>
      <c r="L419">
        <v>1</v>
      </c>
      <c r="M419">
        <v>1</v>
      </c>
      <c r="N419">
        <v>1</v>
      </c>
      <c r="O419">
        <v>1</v>
      </c>
    </row>
    <row r="420" spans="1:15" x14ac:dyDescent="0.2">
      <c r="A420" t="s">
        <v>773</v>
      </c>
      <c r="B420" t="s">
        <v>774</v>
      </c>
      <c r="C420">
        <v>30</v>
      </c>
      <c r="D420" t="s">
        <v>147</v>
      </c>
      <c r="E420">
        <v>1.5</v>
      </c>
      <c r="F420">
        <v>1</v>
      </c>
      <c r="G420">
        <v>1</v>
      </c>
      <c r="H420">
        <v>1</v>
      </c>
      <c r="I420">
        <v>1.25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</row>
    <row r="421" spans="1:15" x14ac:dyDescent="0.2">
      <c r="A421" t="s">
        <v>775</v>
      </c>
      <c r="B421" t="s">
        <v>776</v>
      </c>
      <c r="C421">
        <v>45</v>
      </c>
      <c r="D421" t="s">
        <v>16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 x14ac:dyDescent="0.2">
      <c r="A422" t="s">
        <v>777</v>
      </c>
      <c r="B422" t="s">
        <v>778</v>
      </c>
      <c r="C422">
        <v>80</v>
      </c>
      <c r="D422" t="s">
        <v>291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 x14ac:dyDescent="0.2">
      <c r="A423" t="s">
        <v>779</v>
      </c>
      <c r="B423" t="s">
        <v>780</v>
      </c>
      <c r="C423">
        <v>25</v>
      </c>
      <c r="D423" t="s">
        <v>155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1.2</v>
      </c>
    </row>
    <row r="424" spans="1:15" x14ac:dyDescent="0.2">
      <c r="A424" t="s">
        <v>781</v>
      </c>
      <c r="B424" t="s">
        <v>782</v>
      </c>
      <c r="C424">
        <v>30</v>
      </c>
      <c r="D424" t="s">
        <v>16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</row>
    <row r="425" spans="1:15" x14ac:dyDescent="0.2">
      <c r="A425" t="s">
        <v>783</v>
      </c>
      <c r="B425" t="s">
        <v>784</v>
      </c>
      <c r="C425">
        <v>3000</v>
      </c>
      <c r="D425" t="s">
        <v>16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</row>
    <row r="426" spans="1:15" x14ac:dyDescent="0.2">
      <c r="A426" t="s">
        <v>785</v>
      </c>
      <c r="B426" t="s">
        <v>786</v>
      </c>
      <c r="C426">
        <v>200</v>
      </c>
      <c r="D426" t="s">
        <v>16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 x14ac:dyDescent="0.2">
      <c r="A427" t="s">
        <v>787</v>
      </c>
      <c r="B427" t="s">
        <v>788</v>
      </c>
      <c r="C427">
        <v>40</v>
      </c>
      <c r="D427" t="s">
        <v>178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1.2</v>
      </c>
    </row>
    <row r="428" spans="1:15" x14ac:dyDescent="0.2">
      <c r="A428" t="s">
        <v>789</v>
      </c>
      <c r="B428" t="s">
        <v>790</v>
      </c>
      <c r="C428">
        <v>130</v>
      </c>
      <c r="D428" t="s">
        <v>26</v>
      </c>
      <c r="E428">
        <v>1</v>
      </c>
      <c r="F428">
        <v>1.4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</row>
    <row r="429" spans="1:15" x14ac:dyDescent="0.2">
      <c r="A429" t="s">
        <v>791</v>
      </c>
      <c r="B429" t="s">
        <v>792</v>
      </c>
      <c r="C429">
        <v>120</v>
      </c>
      <c r="D429" t="s">
        <v>26</v>
      </c>
      <c r="E429">
        <v>1</v>
      </c>
      <c r="F429">
        <v>1.4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</row>
    <row r="430" spans="1:15" x14ac:dyDescent="0.2">
      <c r="A430" t="s">
        <v>793</v>
      </c>
      <c r="B430" t="s">
        <v>794</v>
      </c>
      <c r="C430">
        <v>70</v>
      </c>
      <c r="D430" t="s">
        <v>16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</row>
    <row r="431" spans="1:15" x14ac:dyDescent="0.2">
      <c r="A431" t="s">
        <v>795</v>
      </c>
      <c r="B431" t="s">
        <v>796</v>
      </c>
      <c r="C431">
        <v>120</v>
      </c>
      <c r="D431" t="s">
        <v>152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</row>
    <row r="432" spans="1:15" x14ac:dyDescent="0.2">
      <c r="A432" t="s">
        <v>797</v>
      </c>
      <c r="B432" t="s">
        <v>798</v>
      </c>
      <c r="C432">
        <v>500</v>
      </c>
      <c r="D432" t="s">
        <v>147</v>
      </c>
      <c r="E432">
        <v>1.5</v>
      </c>
      <c r="F432">
        <v>1</v>
      </c>
      <c r="G432">
        <v>1</v>
      </c>
      <c r="H432">
        <v>1</v>
      </c>
      <c r="I432">
        <v>1.25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</row>
    <row r="433" spans="1:15" x14ac:dyDescent="0.2">
      <c r="A433" t="s">
        <v>799</v>
      </c>
      <c r="B433" t="s">
        <v>800</v>
      </c>
      <c r="C433">
        <v>750</v>
      </c>
      <c r="D433" t="s">
        <v>16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</row>
    <row r="434" spans="1:15" x14ac:dyDescent="0.2">
      <c r="A434" t="s">
        <v>801</v>
      </c>
      <c r="B434" t="s">
        <v>802</v>
      </c>
      <c r="C434">
        <v>500</v>
      </c>
      <c r="D434" t="s">
        <v>16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</row>
    <row r="435" spans="1:15" x14ac:dyDescent="0.2">
      <c r="A435" t="s">
        <v>803</v>
      </c>
      <c r="B435" t="s">
        <v>804</v>
      </c>
      <c r="C435">
        <v>2000</v>
      </c>
      <c r="D435" t="s">
        <v>16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 x14ac:dyDescent="0.2">
      <c r="A436" t="s">
        <v>805</v>
      </c>
      <c r="B436" t="s">
        <v>806</v>
      </c>
      <c r="C436">
        <v>1000</v>
      </c>
      <c r="D436" t="s">
        <v>16</v>
      </c>
      <c r="E436">
        <v>1</v>
      </c>
      <c r="F436">
        <v>1</v>
      </c>
      <c r="G436">
        <v>1</v>
      </c>
      <c r="H436">
        <v>1.5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</row>
    <row r="437" spans="1:15" x14ac:dyDescent="0.2">
      <c r="A437" t="s">
        <v>807</v>
      </c>
      <c r="B437" t="s">
        <v>808</v>
      </c>
      <c r="C437">
        <v>0</v>
      </c>
      <c r="D437" t="s">
        <v>16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</row>
    <row r="438" spans="1:15" x14ac:dyDescent="0.2">
      <c r="A438" t="s">
        <v>809</v>
      </c>
      <c r="B438" t="s">
        <v>810</v>
      </c>
      <c r="C438">
        <v>100</v>
      </c>
      <c r="D438" t="s">
        <v>16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</row>
    <row r="439" spans="1:15" x14ac:dyDescent="0.2">
      <c r="A439" t="s">
        <v>811</v>
      </c>
      <c r="B439" t="s">
        <v>812</v>
      </c>
      <c r="C439">
        <v>1000</v>
      </c>
      <c r="D439" t="s">
        <v>16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</row>
    <row r="440" spans="1:15" x14ac:dyDescent="0.2">
      <c r="A440" t="s">
        <v>813</v>
      </c>
      <c r="B440" t="s">
        <v>814</v>
      </c>
      <c r="C440">
        <v>120</v>
      </c>
      <c r="D440" t="s">
        <v>16</v>
      </c>
      <c r="E440">
        <v>1</v>
      </c>
      <c r="F440">
        <v>1</v>
      </c>
      <c r="G440">
        <v>1</v>
      </c>
      <c r="H440">
        <v>1.5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</row>
    <row r="441" spans="1:15" x14ac:dyDescent="0.2">
      <c r="A441" t="s">
        <v>815</v>
      </c>
      <c r="B441" t="s">
        <v>816</v>
      </c>
      <c r="C441">
        <v>6</v>
      </c>
      <c r="D441" t="s">
        <v>16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</row>
    <row r="442" spans="1:15" x14ac:dyDescent="0.2">
      <c r="A442" t="s">
        <v>817</v>
      </c>
      <c r="B442" t="s">
        <v>818</v>
      </c>
      <c r="C442">
        <v>10</v>
      </c>
      <c r="D442" t="s">
        <v>16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</row>
    <row r="443" spans="1:15" x14ac:dyDescent="0.2">
      <c r="A443" t="s">
        <v>1872</v>
      </c>
      <c r="B443" t="s">
        <v>1873</v>
      </c>
      <c r="C443">
        <v>500</v>
      </c>
      <c r="D443" t="s">
        <v>16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</row>
    <row r="444" spans="1:15" x14ac:dyDescent="0.2">
      <c r="A444" t="s">
        <v>819</v>
      </c>
      <c r="B444" t="s">
        <v>820</v>
      </c>
      <c r="C444">
        <v>0</v>
      </c>
      <c r="D444" t="s">
        <v>16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</row>
    <row r="445" spans="1:15" x14ac:dyDescent="0.2">
      <c r="A445" t="s">
        <v>821</v>
      </c>
      <c r="B445" t="s">
        <v>822</v>
      </c>
      <c r="C445">
        <v>200</v>
      </c>
      <c r="D445" t="s">
        <v>23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1.3</v>
      </c>
      <c r="L445">
        <v>1</v>
      </c>
      <c r="M445">
        <v>1</v>
      </c>
      <c r="N445">
        <v>1</v>
      </c>
      <c r="O445">
        <v>1</v>
      </c>
    </row>
    <row r="446" spans="1:15" x14ac:dyDescent="0.2">
      <c r="A446" t="s">
        <v>823</v>
      </c>
      <c r="B446" t="s">
        <v>824</v>
      </c>
      <c r="C446">
        <v>400</v>
      </c>
      <c r="D446" t="s">
        <v>16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</row>
    <row r="447" spans="1:15" x14ac:dyDescent="0.2">
      <c r="A447" t="s">
        <v>825</v>
      </c>
      <c r="B447" t="s">
        <v>826</v>
      </c>
      <c r="C447">
        <v>115</v>
      </c>
      <c r="D447" t="s">
        <v>23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1.3</v>
      </c>
      <c r="L447">
        <v>1</v>
      </c>
      <c r="M447">
        <v>1</v>
      </c>
      <c r="N447">
        <v>1</v>
      </c>
      <c r="O447">
        <v>1</v>
      </c>
    </row>
    <row r="448" spans="1:15" x14ac:dyDescent="0.2">
      <c r="A448" t="s">
        <v>827</v>
      </c>
      <c r="B448" t="s">
        <v>828</v>
      </c>
      <c r="C448">
        <v>150</v>
      </c>
      <c r="D448" t="s">
        <v>23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1.3</v>
      </c>
      <c r="L448">
        <v>1</v>
      </c>
      <c r="M448">
        <v>1</v>
      </c>
      <c r="N448">
        <v>1</v>
      </c>
      <c r="O448">
        <v>1</v>
      </c>
    </row>
    <row r="449" spans="1:15" x14ac:dyDescent="0.2">
      <c r="A449" t="s">
        <v>829</v>
      </c>
      <c r="B449" t="s">
        <v>830</v>
      </c>
      <c r="C449">
        <v>150</v>
      </c>
      <c r="D449" t="s">
        <v>23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1.3</v>
      </c>
      <c r="L449">
        <v>1</v>
      </c>
      <c r="M449">
        <v>1</v>
      </c>
      <c r="N449">
        <v>1</v>
      </c>
      <c r="O449">
        <v>1</v>
      </c>
    </row>
    <row r="450" spans="1:15" x14ac:dyDescent="0.2">
      <c r="A450" t="s">
        <v>831</v>
      </c>
      <c r="B450" t="s">
        <v>832</v>
      </c>
      <c r="C450">
        <v>15</v>
      </c>
      <c r="D450" t="s">
        <v>16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</row>
    <row r="451" spans="1:15" x14ac:dyDescent="0.2">
      <c r="A451" t="s">
        <v>833</v>
      </c>
      <c r="B451" t="s">
        <v>834</v>
      </c>
      <c r="C451">
        <v>160</v>
      </c>
      <c r="D451" t="s">
        <v>26</v>
      </c>
      <c r="E451">
        <v>1</v>
      </c>
      <c r="F451">
        <v>1.4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</row>
    <row r="452" spans="1:15" x14ac:dyDescent="0.2">
      <c r="A452" t="s">
        <v>1874</v>
      </c>
      <c r="B452" t="s">
        <v>1875</v>
      </c>
      <c r="C452">
        <v>800</v>
      </c>
      <c r="D452" t="s">
        <v>16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</row>
    <row r="453" spans="1:15" x14ac:dyDescent="0.2">
      <c r="A453" t="s">
        <v>835</v>
      </c>
      <c r="B453" t="s">
        <v>836</v>
      </c>
      <c r="C453">
        <v>25</v>
      </c>
      <c r="D453" t="s">
        <v>16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</row>
    <row r="454" spans="1:15" x14ac:dyDescent="0.2">
      <c r="A454" t="s">
        <v>837</v>
      </c>
      <c r="B454" t="s">
        <v>838</v>
      </c>
      <c r="C454">
        <v>1</v>
      </c>
      <c r="D454" t="s">
        <v>16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</row>
    <row r="455" spans="1:15" x14ac:dyDescent="0.2">
      <c r="A455" t="s">
        <v>839</v>
      </c>
      <c r="B455" t="s">
        <v>840</v>
      </c>
      <c r="C455">
        <v>150</v>
      </c>
      <c r="D455" t="s">
        <v>26</v>
      </c>
      <c r="E455">
        <v>1</v>
      </c>
      <c r="F455">
        <v>1.4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</row>
    <row r="456" spans="1:15" x14ac:dyDescent="0.2">
      <c r="A456" t="s">
        <v>841</v>
      </c>
      <c r="B456" t="s">
        <v>842</v>
      </c>
      <c r="C456">
        <v>200</v>
      </c>
      <c r="D456" t="s">
        <v>16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</row>
    <row r="457" spans="1:15" x14ac:dyDescent="0.2">
      <c r="A457" t="s">
        <v>843</v>
      </c>
      <c r="B457" t="s">
        <v>844</v>
      </c>
      <c r="C457">
        <v>110</v>
      </c>
      <c r="D457" t="s">
        <v>155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1.2</v>
      </c>
    </row>
    <row r="458" spans="1:15" x14ac:dyDescent="0.2">
      <c r="A458" t="s">
        <v>845</v>
      </c>
      <c r="B458" t="s">
        <v>846</v>
      </c>
      <c r="C458">
        <v>270</v>
      </c>
      <c r="D458" t="s">
        <v>26</v>
      </c>
      <c r="E458">
        <v>1</v>
      </c>
      <c r="F458">
        <v>1.4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</row>
    <row r="459" spans="1:15" x14ac:dyDescent="0.2">
      <c r="A459" t="s">
        <v>847</v>
      </c>
      <c r="B459" t="s">
        <v>848</v>
      </c>
      <c r="C459">
        <v>35</v>
      </c>
      <c r="D459" t="s">
        <v>16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</row>
    <row r="460" spans="1:15" x14ac:dyDescent="0.2">
      <c r="A460" t="s">
        <v>849</v>
      </c>
      <c r="B460" t="s">
        <v>850</v>
      </c>
      <c r="C460">
        <v>250</v>
      </c>
      <c r="D460" t="s">
        <v>23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1.3</v>
      </c>
      <c r="L460">
        <v>1</v>
      </c>
      <c r="M460">
        <v>1</v>
      </c>
      <c r="N460">
        <v>1</v>
      </c>
      <c r="O460">
        <v>1</v>
      </c>
    </row>
    <row r="461" spans="1:15" x14ac:dyDescent="0.2">
      <c r="A461" t="s">
        <v>851</v>
      </c>
      <c r="B461" t="s">
        <v>852</v>
      </c>
      <c r="C461">
        <v>345</v>
      </c>
      <c r="D461" t="s">
        <v>544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1.2</v>
      </c>
      <c r="M461">
        <v>1</v>
      </c>
      <c r="N461">
        <v>1</v>
      </c>
      <c r="O461">
        <v>1</v>
      </c>
    </row>
    <row r="462" spans="1:15" x14ac:dyDescent="0.2">
      <c r="A462" t="s">
        <v>853</v>
      </c>
      <c r="B462" t="s">
        <v>854</v>
      </c>
      <c r="C462">
        <v>95</v>
      </c>
      <c r="D462" t="s">
        <v>544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1.2</v>
      </c>
      <c r="M462">
        <v>1</v>
      </c>
      <c r="N462">
        <v>1</v>
      </c>
      <c r="O462">
        <v>1</v>
      </c>
    </row>
    <row r="463" spans="1:15" x14ac:dyDescent="0.2">
      <c r="A463" t="s">
        <v>855</v>
      </c>
      <c r="B463" t="s">
        <v>856</v>
      </c>
      <c r="C463">
        <v>95</v>
      </c>
      <c r="D463" t="s">
        <v>544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1.2</v>
      </c>
      <c r="M463">
        <v>1</v>
      </c>
      <c r="N463">
        <v>1</v>
      </c>
      <c r="O463">
        <v>1</v>
      </c>
    </row>
    <row r="464" spans="1:15" x14ac:dyDescent="0.2">
      <c r="A464" t="s">
        <v>857</v>
      </c>
      <c r="B464" t="s">
        <v>858</v>
      </c>
      <c r="C464">
        <v>190</v>
      </c>
      <c r="D464" t="s">
        <v>544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1.2</v>
      </c>
      <c r="M464">
        <v>1</v>
      </c>
      <c r="N464">
        <v>1</v>
      </c>
      <c r="O464">
        <v>1</v>
      </c>
    </row>
    <row r="465" spans="1:15" x14ac:dyDescent="0.2">
      <c r="A465" t="s">
        <v>859</v>
      </c>
      <c r="B465" t="s">
        <v>860</v>
      </c>
      <c r="C465">
        <v>100</v>
      </c>
      <c r="D465" t="s">
        <v>147</v>
      </c>
      <c r="E465">
        <v>1.5</v>
      </c>
      <c r="F465">
        <v>1</v>
      </c>
      <c r="G465">
        <v>1</v>
      </c>
      <c r="H465">
        <v>1</v>
      </c>
      <c r="I465">
        <v>1.25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</row>
    <row r="466" spans="1:15" x14ac:dyDescent="0.2">
      <c r="A466" t="s">
        <v>861</v>
      </c>
      <c r="B466" t="s">
        <v>862</v>
      </c>
      <c r="C466">
        <v>150</v>
      </c>
      <c r="D466" t="s">
        <v>16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</row>
    <row r="467" spans="1:15" x14ac:dyDescent="0.2">
      <c r="A467" t="s">
        <v>863</v>
      </c>
      <c r="B467" t="s">
        <v>864</v>
      </c>
      <c r="C467">
        <v>700</v>
      </c>
      <c r="D467" t="s">
        <v>147</v>
      </c>
      <c r="E467">
        <v>1.5</v>
      </c>
      <c r="F467">
        <v>1</v>
      </c>
      <c r="G467">
        <v>1</v>
      </c>
      <c r="H467">
        <v>1</v>
      </c>
      <c r="I467">
        <v>1.25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</row>
    <row r="468" spans="1:15" x14ac:dyDescent="0.2">
      <c r="A468" t="s">
        <v>865</v>
      </c>
      <c r="B468" t="s">
        <v>866</v>
      </c>
      <c r="C468">
        <v>1050</v>
      </c>
      <c r="D468" t="s">
        <v>16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</row>
    <row r="469" spans="1:15" x14ac:dyDescent="0.2">
      <c r="A469" t="s">
        <v>867</v>
      </c>
      <c r="B469" t="s">
        <v>868</v>
      </c>
      <c r="C469">
        <v>150</v>
      </c>
      <c r="D469" t="s">
        <v>16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</row>
    <row r="470" spans="1:15" x14ac:dyDescent="0.2">
      <c r="A470" t="s">
        <v>869</v>
      </c>
      <c r="B470" t="s">
        <v>870</v>
      </c>
      <c r="C470">
        <v>60</v>
      </c>
      <c r="D470" t="s">
        <v>291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2">
      <c r="A471" t="s">
        <v>871</v>
      </c>
      <c r="B471" t="s">
        <v>872</v>
      </c>
      <c r="C471">
        <v>5000</v>
      </c>
      <c r="D471" t="s">
        <v>147</v>
      </c>
      <c r="E471">
        <v>1.5</v>
      </c>
      <c r="F471">
        <v>1</v>
      </c>
      <c r="G471">
        <v>1</v>
      </c>
      <c r="H471">
        <v>1</v>
      </c>
      <c r="I471">
        <v>1.25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</row>
    <row r="472" spans="1:15" x14ac:dyDescent="0.2">
      <c r="A472" t="s">
        <v>873</v>
      </c>
      <c r="B472" t="s">
        <v>874</v>
      </c>
      <c r="C472">
        <v>5000</v>
      </c>
      <c r="D472" t="s">
        <v>147</v>
      </c>
      <c r="E472">
        <v>1.5</v>
      </c>
      <c r="F472">
        <v>1</v>
      </c>
      <c r="G472">
        <v>1</v>
      </c>
      <c r="H472">
        <v>1</v>
      </c>
      <c r="I472">
        <v>1.25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</row>
    <row r="473" spans="1:15" x14ac:dyDescent="0.2">
      <c r="A473" t="s">
        <v>875</v>
      </c>
      <c r="B473" t="s">
        <v>876</v>
      </c>
      <c r="C473">
        <v>200</v>
      </c>
      <c r="D473" t="s">
        <v>23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1.3</v>
      </c>
      <c r="L473">
        <v>1</v>
      </c>
      <c r="M473">
        <v>1</v>
      </c>
      <c r="N473">
        <v>1</v>
      </c>
      <c r="O473">
        <v>1</v>
      </c>
    </row>
    <row r="474" spans="1:15" x14ac:dyDescent="0.2">
      <c r="A474" t="s">
        <v>877</v>
      </c>
      <c r="B474" t="s">
        <v>878</v>
      </c>
      <c r="C474">
        <v>250</v>
      </c>
      <c r="D474" t="s">
        <v>152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</row>
    <row r="475" spans="1:15" x14ac:dyDescent="0.2">
      <c r="A475" t="s">
        <v>879</v>
      </c>
      <c r="B475" t="s">
        <v>880</v>
      </c>
      <c r="C475">
        <v>15</v>
      </c>
      <c r="D475" t="s">
        <v>23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1.3</v>
      </c>
      <c r="L475">
        <v>1</v>
      </c>
      <c r="M475">
        <v>1</v>
      </c>
      <c r="N475">
        <v>1</v>
      </c>
      <c r="O475">
        <v>1</v>
      </c>
    </row>
    <row r="476" spans="1:15" x14ac:dyDescent="0.2">
      <c r="A476" t="s">
        <v>881</v>
      </c>
      <c r="B476" t="s">
        <v>882</v>
      </c>
      <c r="C476">
        <v>120</v>
      </c>
      <c r="D476" t="s">
        <v>147</v>
      </c>
      <c r="E476">
        <v>1.5</v>
      </c>
      <c r="F476">
        <v>1</v>
      </c>
      <c r="G476">
        <v>1</v>
      </c>
      <c r="H476">
        <v>1</v>
      </c>
      <c r="I476">
        <v>1.25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</row>
    <row r="477" spans="1:15" x14ac:dyDescent="0.2">
      <c r="A477" t="s">
        <v>883</v>
      </c>
      <c r="B477" t="s">
        <v>884</v>
      </c>
      <c r="C477">
        <v>180</v>
      </c>
      <c r="D477" t="s">
        <v>16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</row>
    <row r="478" spans="1:15" x14ac:dyDescent="0.2">
      <c r="A478" t="s">
        <v>885</v>
      </c>
      <c r="B478" t="s">
        <v>886</v>
      </c>
      <c r="C478">
        <v>100</v>
      </c>
      <c r="D478" t="s">
        <v>147</v>
      </c>
      <c r="E478">
        <v>1.5</v>
      </c>
      <c r="F478">
        <v>1</v>
      </c>
      <c r="G478">
        <v>1</v>
      </c>
      <c r="H478">
        <v>1</v>
      </c>
      <c r="I478">
        <v>1.25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</row>
    <row r="479" spans="1:15" x14ac:dyDescent="0.2">
      <c r="A479" t="s">
        <v>887</v>
      </c>
      <c r="B479" t="s">
        <v>888</v>
      </c>
      <c r="C479">
        <v>150</v>
      </c>
      <c r="D479" t="s">
        <v>16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</row>
    <row r="480" spans="1:15" x14ac:dyDescent="0.2">
      <c r="A480" t="s">
        <v>889</v>
      </c>
      <c r="B480" t="s">
        <v>890</v>
      </c>
      <c r="C480">
        <v>120</v>
      </c>
      <c r="D480" t="s">
        <v>147</v>
      </c>
      <c r="E480">
        <v>1.5</v>
      </c>
      <c r="F480">
        <v>1</v>
      </c>
      <c r="G480">
        <v>1</v>
      </c>
      <c r="H480">
        <v>1</v>
      </c>
      <c r="I480">
        <v>1.25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</row>
    <row r="481" spans="1:15" x14ac:dyDescent="0.2">
      <c r="A481" t="s">
        <v>891</v>
      </c>
      <c r="B481" t="s">
        <v>892</v>
      </c>
      <c r="C481">
        <v>205</v>
      </c>
      <c r="D481" t="s">
        <v>152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2">
      <c r="A482" t="s">
        <v>893</v>
      </c>
      <c r="B482" t="s">
        <v>894</v>
      </c>
      <c r="C482">
        <v>180</v>
      </c>
      <c r="D482" t="s">
        <v>16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</row>
    <row r="483" spans="1:15" x14ac:dyDescent="0.2">
      <c r="A483" t="s">
        <v>895</v>
      </c>
      <c r="B483" t="s">
        <v>896</v>
      </c>
      <c r="C483">
        <v>0</v>
      </c>
      <c r="D483" t="s">
        <v>16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 x14ac:dyDescent="0.2">
      <c r="A484" t="s">
        <v>897</v>
      </c>
      <c r="B484" t="s">
        <v>898</v>
      </c>
      <c r="C484">
        <v>0</v>
      </c>
      <c r="D484" t="s">
        <v>16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</row>
    <row r="485" spans="1:15" x14ac:dyDescent="0.2">
      <c r="A485" t="s">
        <v>899</v>
      </c>
      <c r="B485" t="s">
        <v>900</v>
      </c>
      <c r="C485">
        <v>250</v>
      </c>
      <c r="D485" t="s">
        <v>152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</row>
    <row r="486" spans="1:15" x14ac:dyDescent="0.2">
      <c r="A486" t="s">
        <v>901</v>
      </c>
      <c r="B486" t="s">
        <v>902</v>
      </c>
      <c r="C486">
        <v>0</v>
      </c>
      <c r="D486" t="s">
        <v>16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</row>
    <row r="487" spans="1:15" x14ac:dyDescent="0.2">
      <c r="A487" t="s">
        <v>903</v>
      </c>
      <c r="B487" t="s">
        <v>904</v>
      </c>
      <c r="C487">
        <v>200</v>
      </c>
      <c r="D487" t="s">
        <v>16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</row>
    <row r="488" spans="1:15" x14ac:dyDescent="0.2">
      <c r="A488" t="s">
        <v>905</v>
      </c>
      <c r="B488" t="s">
        <v>906</v>
      </c>
      <c r="C488">
        <v>2</v>
      </c>
      <c r="D488" t="s">
        <v>16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</row>
    <row r="489" spans="1:15" x14ac:dyDescent="0.2">
      <c r="A489" t="s">
        <v>907</v>
      </c>
      <c r="B489" t="s">
        <v>908</v>
      </c>
      <c r="C489">
        <v>200</v>
      </c>
      <c r="D489" t="s">
        <v>23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1.3</v>
      </c>
      <c r="L489">
        <v>1</v>
      </c>
      <c r="M489">
        <v>1</v>
      </c>
      <c r="N489">
        <v>1</v>
      </c>
      <c r="O489">
        <v>1</v>
      </c>
    </row>
    <row r="490" spans="1:15" x14ac:dyDescent="0.2">
      <c r="A490" t="s">
        <v>909</v>
      </c>
      <c r="B490" t="s">
        <v>910</v>
      </c>
      <c r="C490">
        <v>1</v>
      </c>
      <c r="D490" t="s">
        <v>16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</row>
    <row r="491" spans="1:15" x14ac:dyDescent="0.2">
      <c r="A491" t="s">
        <v>911</v>
      </c>
      <c r="B491" t="s">
        <v>912</v>
      </c>
      <c r="C491">
        <v>5000</v>
      </c>
      <c r="D491" t="s">
        <v>152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</row>
    <row r="492" spans="1:15" x14ac:dyDescent="0.2">
      <c r="A492" t="s">
        <v>913</v>
      </c>
      <c r="B492" t="s">
        <v>914</v>
      </c>
      <c r="C492">
        <v>400</v>
      </c>
      <c r="D492" t="s">
        <v>291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</row>
    <row r="493" spans="1:15" x14ac:dyDescent="0.2">
      <c r="A493" t="s">
        <v>915</v>
      </c>
      <c r="B493" t="s">
        <v>916</v>
      </c>
      <c r="C493">
        <v>150</v>
      </c>
      <c r="D493" t="s">
        <v>16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</row>
    <row r="494" spans="1:15" x14ac:dyDescent="0.2">
      <c r="A494" t="s">
        <v>917</v>
      </c>
      <c r="B494" t="s">
        <v>918</v>
      </c>
      <c r="C494">
        <v>15</v>
      </c>
      <c r="D494" t="s">
        <v>16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</row>
    <row r="495" spans="1:15" x14ac:dyDescent="0.2">
      <c r="A495" t="s">
        <v>919</v>
      </c>
      <c r="B495" t="s">
        <v>920</v>
      </c>
      <c r="C495">
        <v>200</v>
      </c>
      <c r="D495" t="s">
        <v>16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</row>
    <row r="496" spans="1:15" x14ac:dyDescent="0.2">
      <c r="A496" t="s">
        <v>921</v>
      </c>
      <c r="B496" t="s">
        <v>922</v>
      </c>
      <c r="C496">
        <v>100</v>
      </c>
      <c r="D496" t="s">
        <v>16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 x14ac:dyDescent="0.2">
      <c r="A497" t="s">
        <v>923</v>
      </c>
      <c r="B497" t="s">
        <v>924</v>
      </c>
      <c r="C497">
        <v>220</v>
      </c>
      <c r="D497" t="s">
        <v>152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</row>
    <row r="498" spans="1:15" x14ac:dyDescent="0.2">
      <c r="A498" t="s">
        <v>925</v>
      </c>
      <c r="B498" t="s">
        <v>926</v>
      </c>
      <c r="C498">
        <v>100</v>
      </c>
      <c r="D498" t="s">
        <v>23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1.3</v>
      </c>
      <c r="L498">
        <v>1</v>
      </c>
      <c r="M498">
        <v>1</v>
      </c>
      <c r="N498">
        <v>1</v>
      </c>
      <c r="O498">
        <v>1</v>
      </c>
    </row>
    <row r="499" spans="1:15" x14ac:dyDescent="0.2">
      <c r="A499" t="s">
        <v>927</v>
      </c>
      <c r="B499" t="s">
        <v>928</v>
      </c>
      <c r="C499">
        <v>130</v>
      </c>
      <c r="D499" t="s">
        <v>178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1.2</v>
      </c>
    </row>
    <row r="500" spans="1:15" x14ac:dyDescent="0.2">
      <c r="A500" t="s">
        <v>929</v>
      </c>
      <c r="B500" t="s">
        <v>930</v>
      </c>
      <c r="C500">
        <v>310</v>
      </c>
      <c r="D500" t="s">
        <v>26</v>
      </c>
      <c r="E500">
        <v>1</v>
      </c>
      <c r="F500">
        <v>1.4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2">
      <c r="A501" t="s">
        <v>931</v>
      </c>
      <c r="B501" t="s">
        <v>932</v>
      </c>
      <c r="C501">
        <v>850</v>
      </c>
      <c r="D501" t="s">
        <v>16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</row>
    <row r="502" spans="1:15" x14ac:dyDescent="0.2">
      <c r="A502" t="s">
        <v>933</v>
      </c>
      <c r="B502" t="s">
        <v>934</v>
      </c>
      <c r="C502">
        <v>250</v>
      </c>
      <c r="D502" t="s">
        <v>152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x14ac:dyDescent="0.2">
      <c r="A503" t="s">
        <v>935</v>
      </c>
      <c r="B503" t="s">
        <v>936</v>
      </c>
      <c r="C503">
        <v>390</v>
      </c>
      <c r="D503" t="s">
        <v>26</v>
      </c>
      <c r="E503">
        <v>1</v>
      </c>
      <c r="F503">
        <v>1.4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2">
      <c r="A504" t="s">
        <v>937</v>
      </c>
      <c r="B504" t="s">
        <v>938</v>
      </c>
      <c r="C504">
        <v>300</v>
      </c>
      <c r="D504" t="s">
        <v>152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</row>
    <row r="505" spans="1:15" x14ac:dyDescent="0.2">
      <c r="A505" t="s">
        <v>939</v>
      </c>
      <c r="B505" t="s">
        <v>940</v>
      </c>
      <c r="C505">
        <v>5</v>
      </c>
      <c r="D505" t="s">
        <v>16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</row>
    <row r="506" spans="1:15" x14ac:dyDescent="0.2">
      <c r="A506" t="s">
        <v>941</v>
      </c>
      <c r="B506" t="s">
        <v>942</v>
      </c>
      <c r="C506">
        <v>200</v>
      </c>
      <c r="D506" t="s">
        <v>291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1.25</v>
      </c>
      <c r="O506">
        <v>1</v>
      </c>
    </row>
    <row r="507" spans="1:15" x14ac:dyDescent="0.2">
      <c r="A507" t="s">
        <v>1876</v>
      </c>
      <c r="B507" t="s">
        <v>1877</v>
      </c>
      <c r="C507">
        <v>4000</v>
      </c>
      <c r="D507" t="s">
        <v>16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</row>
    <row r="508" spans="1:15" x14ac:dyDescent="0.2">
      <c r="A508" t="s">
        <v>943</v>
      </c>
      <c r="B508" t="s">
        <v>944</v>
      </c>
      <c r="C508">
        <v>110</v>
      </c>
      <c r="D508" t="s">
        <v>23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1.3</v>
      </c>
      <c r="L508">
        <v>1</v>
      </c>
      <c r="M508">
        <v>1</v>
      </c>
      <c r="N508">
        <v>1</v>
      </c>
      <c r="O508">
        <v>1</v>
      </c>
    </row>
    <row r="509" spans="1:15" x14ac:dyDescent="0.2">
      <c r="A509" t="s">
        <v>945</v>
      </c>
      <c r="B509" t="s">
        <v>946</v>
      </c>
      <c r="C509">
        <v>190</v>
      </c>
      <c r="D509" t="s">
        <v>26</v>
      </c>
      <c r="E509">
        <v>1</v>
      </c>
      <c r="F509">
        <v>1.4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</row>
    <row r="510" spans="1:15" x14ac:dyDescent="0.2">
      <c r="A510" t="s">
        <v>947</v>
      </c>
      <c r="B510" t="s">
        <v>948</v>
      </c>
      <c r="C510">
        <v>300</v>
      </c>
      <c r="D510" t="s">
        <v>26</v>
      </c>
      <c r="E510">
        <v>1</v>
      </c>
      <c r="F510">
        <v>1.4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2">
      <c r="A511" t="s">
        <v>949</v>
      </c>
      <c r="B511" t="s">
        <v>950</v>
      </c>
      <c r="C511">
        <v>50</v>
      </c>
      <c r="D511" t="s">
        <v>16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</row>
    <row r="512" spans="1:15" x14ac:dyDescent="0.2">
      <c r="A512" t="s">
        <v>951</v>
      </c>
      <c r="B512" t="s">
        <v>952</v>
      </c>
      <c r="C512">
        <v>250</v>
      </c>
      <c r="D512" t="s">
        <v>178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1.2</v>
      </c>
    </row>
    <row r="513" spans="1:15" x14ac:dyDescent="0.2">
      <c r="A513" t="s">
        <v>953</v>
      </c>
      <c r="B513" t="s">
        <v>954</v>
      </c>
      <c r="C513">
        <v>550</v>
      </c>
      <c r="D513" t="s">
        <v>26</v>
      </c>
      <c r="E513">
        <v>1</v>
      </c>
      <c r="F513">
        <v>1.4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</row>
    <row r="514" spans="1:15" x14ac:dyDescent="0.2">
      <c r="A514" t="s">
        <v>955</v>
      </c>
      <c r="B514" t="s">
        <v>956</v>
      </c>
      <c r="C514">
        <v>40</v>
      </c>
      <c r="D514" t="s">
        <v>16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</row>
    <row r="515" spans="1:15" x14ac:dyDescent="0.2">
      <c r="A515" t="s">
        <v>957</v>
      </c>
      <c r="B515" t="s">
        <v>958</v>
      </c>
      <c r="C515">
        <v>750</v>
      </c>
      <c r="D515" t="s">
        <v>26</v>
      </c>
      <c r="E515">
        <v>1</v>
      </c>
      <c r="F515">
        <v>1.4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</row>
    <row r="516" spans="1:15" x14ac:dyDescent="0.2">
      <c r="A516" t="s">
        <v>959</v>
      </c>
      <c r="B516" t="s">
        <v>960</v>
      </c>
      <c r="C516">
        <v>2500</v>
      </c>
      <c r="D516" t="s">
        <v>16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</row>
    <row r="517" spans="1:15" x14ac:dyDescent="0.2">
      <c r="A517" t="s">
        <v>961</v>
      </c>
      <c r="B517" t="s">
        <v>962</v>
      </c>
      <c r="C517">
        <v>150</v>
      </c>
      <c r="D517" t="s">
        <v>147</v>
      </c>
      <c r="E517">
        <v>1.5</v>
      </c>
      <c r="F517">
        <v>1</v>
      </c>
      <c r="G517">
        <v>1</v>
      </c>
      <c r="H517">
        <v>1</v>
      </c>
      <c r="I517">
        <v>1.25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</row>
    <row r="518" spans="1:15" x14ac:dyDescent="0.2">
      <c r="A518" t="s">
        <v>963</v>
      </c>
      <c r="B518" t="s">
        <v>964</v>
      </c>
      <c r="C518">
        <v>225</v>
      </c>
      <c r="D518" t="s">
        <v>16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</row>
    <row r="519" spans="1:15" x14ac:dyDescent="0.2">
      <c r="A519" t="s">
        <v>965</v>
      </c>
      <c r="B519" t="s">
        <v>966</v>
      </c>
      <c r="C519">
        <v>100</v>
      </c>
      <c r="D519" t="s">
        <v>147</v>
      </c>
      <c r="E519">
        <v>1.5</v>
      </c>
      <c r="F519">
        <v>1</v>
      </c>
      <c r="G519">
        <v>1</v>
      </c>
      <c r="H519">
        <v>1</v>
      </c>
      <c r="I519">
        <v>1.25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</row>
    <row r="520" spans="1:15" x14ac:dyDescent="0.2">
      <c r="A520" t="s">
        <v>967</v>
      </c>
      <c r="B520" t="s">
        <v>968</v>
      </c>
      <c r="C520">
        <v>150</v>
      </c>
      <c r="D520" t="s">
        <v>16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</row>
    <row r="521" spans="1:15" x14ac:dyDescent="0.2">
      <c r="A521" t="s">
        <v>969</v>
      </c>
      <c r="B521" t="s">
        <v>970</v>
      </c>
      <c r="C521">
        <v>125</v>
      </c>
      <c r="D521" t="s">
        <v>544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1.2</v>
      </c>
      <c r="M521">
        <v>1</v>
      </c>
      <c r="N521">
        <v>1</v>
      </c>
      <c r="O521">
        <v>1</v>
      </c>
    </row>
    <row r="522" spans="1:15" x14ac:dyDescent="0.2">
      <c r="A522" t="s">
        <v>971</v>
      </c>
      <c r="B522" t="s">
        <v>972</v>
      </c>
      <c r="C522">
        <v>200</v>
      </c>
      <c r="D522" t="s">
        <v>152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</row>
    <row r="523" spans="1:15" x14ac:dyDescent="0.2">
      <c r="A523" t="s">
        <v>1878</v>
      </c>
      <c r="B523" t="s">
        <v>1879</v>
      </c>
      <c r="C523">
        <v>500</v>
      </c>
      <c r="D523" t="s">
        <v>16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</row>
    <row r="524" spans="1:15" x14ac:dyDescent="0.2">
      <c r="A524" t="s">
        <v>1880</v>
      </c>
      <c r="B524" t="s">
        <v>1881</v>
      </c>
      <c r="C524">
        <v>0</v>
      </c>
      <c r="D524" t="s">
        <v>16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</row>
    <row r="525" spans="1:15" x14ac:dyDescent="0.2">
      <c r="A525" t="s">
        <v>973</v>
      </c>
      <c r="B525" t="s">
        <v>974</v>
      </c>
      <c r="C525">
        <v>0</v>
      </c>
      <c r="D525" t="s">
        <v>16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</row>
    <row r="526" spans="1:15" x14ac:dyDescent="0.2">
      <c r="A526" t="s">
        <v>1882</v>
      </c>
      <c r="B526" t="s">
        <v>1883</v>
      </c>
      <c r="C526">
        <v>2000</v>
      </c>
      <c r="D526" t="s">
        <v>16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</row>
    <row r="527" spans="1:15" x14ac:dyDescent="0.2">
      <c r="A527" t="s">
        <v>975</v>
      </c>
      <c r="B527" t="s">
        <v>976</v>
      </c>
      <c r="C527">
        <v>50</v>
      </c>
      <c r="D527" t="s">
        <v>16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</row>
    <row r="528" spans="1:15" x14ac:dyDescent="0.2">
      <c r="A528" t="s">
        <v>977</v>
      </c>
      <c r="B528" t="s">
        <v>978</v>
      </c>
      <c r="C528">
        <v>150</v>
      </c>
      <c r="D528" t="s">
        <v>291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 x14ac:dyDescent="0.2">
      <c r="A529" t="s">
        <v>1884</v>
      </c>
      <c r="B529" t="s">
        <v>1885</v>
      </c>
      <c r="C529">
        <v>5</v>
      </c>
      <c r="D529" t="s">
        <v>16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</row>
    <row r="530" spans="1:15" x14ac:dyDescent="0.2">
      <c r="A530" t="s">
        <v>1886</v>
      </c>
      <c r="B530" t="s">
        <v>1887</v>
      </c>
      <c r="C530">
        <v>80</v>
      </c>
      <c r="D530" t="s">
        <v>152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</row>
    <row r="531" spans="1:15" x14ac:dyDescent="0.2">
      <c r="A531" t="s">
        <v>1888</v>
      </c>
      <c r="B531" t="s">
        <v>1889</v>
      </c>
      <c r="C531">
        <v>100</v>
      </c>
      <c r="D531" t="s">
        <v>16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</row>
    <row r="532" spans="1:15" x14ac:dyDescent="0.2">
      <c r="A532" t="s">
        <v>979</v>
      </c>
      <c r="B532" t="s">
        <v>980</v>
      </c>
      <c r="C532">
        <v>500</v>
      </c>
      <c r="D532" t="s">
        <v>16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</row>
    <row r="533" spans="1:15" x14ac:dyDescent="0.2">
      <c r="A533" t="s">
        <v>981</v>
      </c>
      <c r="B533" t="s">
        <v>982</v>
      </c>
      <c r="C533">
        <v>900</v>
      </c>
      <c r="D533" t="s">
        <v>147</v>
      </c>
      <c r="E533">
        <v>1.5</v>
      </c>
      <c r="F533">
        <v>1</v>
      </c>
      <c r="G533">
        <v>1</v>
      </c>
      <c r="H533">
        <v>1</v>
      </c>
      <c r="I533">
        <v>1.25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</row>
    <row r="534" spans="1:15" x14ac:dyDescent="0.2">
      <c r="A534" t="s">
        <v>983</v>
      </c>
      <c r="B534" t="s">
        <v>984</v>
      </c>
      <c r="C534">
        <v>25</v>
      </c>
      <c r="D534" t="s">
        <v>23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1.3</v>
      </c>
      <c r="L534">
        <v>1</v>
      </c>
      <c r="M534">
        <v>1</v>
      </c>
      <c r="N534">
        <v>1</v>
      </c>
      <c r="O534">
        <v>1</v>
      </c>
    </row>
    <row r="535" spans="1:15" x14ac:dyDescent="0.2">
      <c r="A535" t="s">
        <v>985</v>
      </c>
      <c r="B535" t="s">
        <v>986</v>
      </c>
      <c r="C535">
        <v>100</v>
      </c>
      <c r="D535" t="s">
        <v>16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</row>
    <row r="536" spans="1:15" x14ac:dyDescent="0.2">
      <c r="A536" t="s">
        <v>987</v>
      </c>
      <c r="B536" t="s">
        <v>988</v>
      </c>
      <c r="C536">
        <v>100</v>
      </c>
      <c r="D536" t="s">
        <v>16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</row>
    <row r="537" spans="1:15" x14ac:dyDescent="0.2">
      <c r="A537" t="s">
        <v>989</v>
      </c>
      <c r="B537" t="s">
        <v>990</v>
      </c>
      <c r="C537">
        <v>500</v>
      </c>
      <c r="D537" t="s">
        <v>16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</row>
    <row r="538" spans="1:15" x14ac:dyDescent="0.2">
      <c r="A538" t="s">
        <v>991</v>
      </c>
      <c r="B538" t="s">
        <v>992</v>
      </c>
      <c r="C538">
        <v>100</v>
      </c>
      <c r="D538" t="s">
        <v>16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</row>
    <row r="539" spans="1:15" x14ac:dyDescent="0.2">
      <c r="A539" t="s">
        <v>993</v>
      </c>
      <c r="B539" t="s">
        <v>994</v>
      </c>
      <c r="C539">
        <v>30</v>
      </c>
      <c r="D539" t="s">
        <v>147</v>
      </c>
      <c r="E539">
        <v>1.5</v>
      </c>
      <c r="F539">
        <v>1</v>
      </c>
      <c r="G539">
        <v>1</v>
      </c>
      <c r="H539">
        <v>1</v>
      </c>
      <c r="I539">
        <v>1.25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</row>
    <row r="540" spans="1:15" x14ac:dyDescent="0.2">
      <c r="A540" t="s">
        <v>995</v>
      </c>
      <c r="B540" t="s">
        <v>996</v>
      </c>
      <c r="C540">
        <v>45</v>
      </c>
      <c r="D540" t="s">
        <v>16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</row>
    <row r="541" spans="1:15" x14ac:dyDescent="0.2">
      <c r="A541" t="s">
        <v>997</v>
      </c>
      <c r="B541" t="s">
        <v>998</v>
      </c>
      <c r="C541">
        <v>1000</v>
      </c>
      <c r="D541" t="s">
        <v>147</v>
      </c>
      <c r="E541">
        <v>1.5</v>
      </c>
      <c r="F541">
        <v>1</v>
      </c>
      <c r="G541">
        <v>1</v>
      </c>
      <c r="H541">
        <v>1</v>
      </c>
      <c r="I541">
        <v>1.25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</row>
    <row r="542" spans="1:15" x14ac:dyDescent="0.2">
      <c r="A542" t="s">
        <v>1890</v>
      </c>
      <c r="B542" t="s">
        <v>1891</v>
      </c>
      <c r="C542">
        <v>0</v>
      </c>
      <c r="D542" t="s">
        <v>16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</row>
    <row r="543" spans="1:15" x14ac:dyDescent="0.2">
      <c r="A543" t="s">
        <v>1892</v>
      </c>
      <c r="B543" t="s">
        <v>1893</v>
      </c>
      <c r="C543">
        <v>1000</v>
      </c>
      <c r="D543" t="s">
        <v>291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1.25</v>
      </c>
      <c r="O543">
        <v>1</v>
      </c>
    </row>
    <row r="544" spans="1:15" x14ac:dyDescent="0.2">
      <c r="A544" t="s">
        <v>1894</v>
      </c>
      <c r="B544" t="s">
        <v>1895</v>
      </c>
      <c r="C544">
        <v>100</v>
      </c>
      <c r="D544" t="s">
        <v>16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</row>
    <row r="545" spans="1:15" x14ac:dyDescent="0.2">
      <c r="A545" t="s">
        <v>999</v>
      </c>
      <c r="B545" t="s">
        <v>1000</v>
      </c>
      <c r="C545">
        <v>2000</v>
      </c>
      <c r="D545" t="s">
        <v>16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</row>
    <row r="546" spans="1:15" x14ac:dyDescent="0.2">
      <c r="A546" t="s">
        <v>1001</v>
      </c>
      <c r="B546" t="s">
        <v>1002</v>
      </c>
      <c r="C546">
        <v>80</v>
      </c>
      <c r="D546" t="s">
        <v>16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</row>
    <row r="547" spans="1:15" x14ac:dyDescent="0.2">
      <c r="A547" t="s">
        <v>1003</v>
      </c>
      <c r="B547" t="s">
        <v>1004</v>
      </c>
      <c r="C547">
        <v>120</v>
      </c>
      <c r="D547" t="s">
        <v>16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</row>
    <row r="548" spans="1:15" x14ac:dyDescent="0.2">
      <c r="A548" t="s">
        <v>1005</v>
      </c>
      <c r="B548" t="s">
        <v>1006</v>
      </c>
      <c r="C548">
        <v>80</v>
      </c>
      <c r="D548" t="s">
        <v>23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1.3</v>
      </c>
      <c r="L548">
        <v>1</v>
      </c>
      <c r="M548">
        <v>1</v>
      </c>
      <c r="N548">
        <v>1</v>
      </c>
      <c r="O548">
        <v>1</v>
      </c>
    </row>
    <row r="549" spans="1:15" x14ac:dyDescent="0.2">
      <c r="A549" t="s">
        <v>1007</v>
      </c>
      <c r="B549" t="s">
        <v>1008</v>
      </c>
      <c r="C549">
        <v>400</v>
      </c>
      <c r="D549" t="s">
        <v>23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1.3</v>
      </c>
      <c r="L549">
        <v>1</v>
      </c>
      <c r="M549">
        <v>1</v>
      </c>
      <c r="N549">
        <v>1</v>
      </c>
      <c r="O549">
        <v>1</v>
      </c>
    </row>
    <row r="550" spans="1:15" x14ac:dyDescent="0.2">
      <c r="A550" t="s">
        <v>1009</v>
      </c>
      <c r="B550" t="s">
        <v>1010</v>
      </c>
      <c r="C550">
        <v>150</v>
      </c>
      <c r="D550" t="s">
        <v>291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1.25</v>
      </c>
      <c r="O550">
        <v>1</v>
      </c>
    </row>
    <row r="551" spans="1:15" x14ac:dyDescent="0.2">
      <c r="A551" t="s">
        <v>1011</v>
      </c>
      <c r="B551" t="s">
        <v>1012</v>
      </c>
      <c r="C551">
        <v>200</v>
      </c>
      <c r="D551" t="s">
        <v>23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1.3</v>
      </c>
      <c r="L551">
        <v>1</v>
      </c>
      <c r="M551">
        <v>1</v>
      </c>
      <c r="N551">
        <v>1</v>
      </c>
      <c r="O551">
        <v>1</v>
      </c>
    </row>
    <row r="552" spans="1:15" x14ac:dyDescent="0.2">
      <c r="A552" t="s">
        <v>1013</v>
      </c>
      <c r="B552" t="s">
        <v>1014</v>
      </c>
      <c r="C552">
        <v>220</v>
      </c>
      <c r="D552" t="s">
        <v>23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1.3</v>
      </c>
      <c r="L552">
        <v>1</v>
      </c>
      <c r="M552">
        <v>1</v>
      </c>
      <c r="N552">
        <v>1</v>
      </c>
      <c r="O552">
        <v>1</v>
      </c>
    </row>
    <row r="553" spans="1:15" x14ac:dyDescent="0.2">
      <c r="A553" t="s">
        <v>1015</v>
      </c>
      <c r="B553" t="s">
        <v>1016</v>
      </c>
      <c r="C553">
        <v>150</v>
      </c>
      <c r="D553" t="s">
        <v>147</v>
      </c>
      <c r="E553">
        <v>1.5</v>
      </c>
      <c r="F553">
        <v>1</v>
      </c>
      <c r="G553">
        <v>1</v>
      </c>
      <c r="H553">
        <v>1</v>
      </c>
      <c r="I553">
        <v>1.25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</row>
    <row r="554" spans="1:15" x14ac:dyDescent="0.2">
      <c r="A554" t="s">
        <v>1017</v>
      </c>
      <c r="B554" t="s">
        <v>1018</v>
      </c>
      <c r="C554">
        <v>225</v>
      </c>
      <c r="D554" t="s">
        <v>16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</row>
    <row r="555" spans="1:15" x14ac:dyDescent="0.2">
      <c r="A555" t="s">
        <v>1019</v>
      </c>
      <c r="B555" t="s">
        <v>1020</v>
      </c>
      <c r="C555">
        <v>100</v>
      </c>
      <c r="D555" t="s">
        <v>16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</row>
    <row r="556" spans="1:15" x14ac:dyDescent="0.2">
      <c r="A556" t="s">
        <v>1021</v>
      </c>
      <c r="B556" t="s">
        <v>1022</v>
      </c>
      <c r="C556">
        <v>1000</v>
      </c>
      <c r="D556" t="s">
        <v>152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</row>
    <row r="557" spans="1:15" x14ac:dyDescent="0.2">
      <c r="A557" t="s">
        <v>1023</v>
      </c>
      <c r="B557" t="s">
        <v>1024</v>
      </c>
      <c r="C557">
        <v>125</v>
      </c>
      <c r="D557" t="s">
        <v>152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</row>
    <row r="558" spans="1:15" x14ac:dyDescent="0.2">
      <c r="A558" t="s">
        <v>1025</v>
      </c>
      <c r="B558" t="s">
        <v>1026</v>
      </c>
      <c r="C558">
        <v>0</v>
      </c>
      <c r="D558" t="s">
        <v>16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</row>
    <row r="559" spans="1:15" x14ac:dyDescent="0.2">
      <c r="A559" t="s">
        <v>1027</v>
      </c>
      <c r="B559" t="s">
        <v>1028</v>
      </c>
      <c r="C559">
        <v>150</v>
      </c>
      <c r="D559" t="s">
        <v>23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1.3</v>
      </c>
      <c r="L559">
        <v>1</v>
      </c>
      <c r="M559">
        <v>1</v>
      </c>
      <c r="N559">
        <v>1</v>
      </c>
      <c r="O559">
        <v>1</v>
      </c>
    </row>
    <row r="560" spans="1:15" x14ac:dyDescent="0.2">
      <c r="A560" t="s">
        <v>1029</v>
      </c>
      <c r="B560" t="s">
        <v>1030</v>
      </c>
      <c r="C560">
        <v>100</v>
      </c>
      <c r="D560" t="s">
        <v>178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1.2</v>
      </c>
    </row>
    <row r="561" spans="1:15" x14ac:dyDescent="0.2">
      <c r="A561" t="s">
        <v>1031</v>
      </c>
      <c r="B561" t="s">
        <v>1032</v>
      </c>
      <c r="C561">
        <v>250</v>
      </c>
      <c r="D561" t="s">
        <v>26</v>
      </c>
      <c r="E561">
        <v>1</v>
      </c>
      <c r="F561">
        <v>1.4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</row>
    <row r="562" spans="1:15" x14ac:dyDescent="0.2">
      <c r="A562" t="s">
        <v>1033</v>
      </c>
      <c r="B562" t="s">
        <v>1034</v>
      </c>
      <c r="C562">
        <v>1000</v>
      </c>
      <c r="D562" t="s">
        <v>16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</row>
    <row r="563" spans="1:15" x14ac:dyDescent="0.2">
      <c r="A563" t="s">
        <v>1035</v>
      </c>
      <c r="B563" t="s">
        <v>1036</v>
      </c>
      <c r="C563">
        <v>300</v>
      </c>
      <c r="D563" t="s">
        <v>26</v>
      </c>
      <c r="E563">
        <v>1</v>
      </c>
      <c r="F563">
        <v>1.4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</row>
    <row r="564" spans="1:15" x14ac:dyDescent="0.2">
      <c r="A564" t="s">
        <v>1037</v>
      </c>
      <c r="B564" t="s">
        <v>1038</v>
      </c>
      <c r="C564">
        <v>300</v>
      </c>
      <c r="D564" t="s">
        <v>16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</row>
    <row r="565" spans="1:15" x14ac:dyDescent="0.2">
      <c r="A565" t="s">
        <v>1039</v>
      </c>
      <c r="B565" t="s">
        <v>1040</v>
      </c>
      <c r="C565">
        <v>0</v>
      </c>
      <c r="D565" t="s">
        <v>16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</row>
    <row r="566" spans="1:15" x14ac:dyDescent="0.2">
      <c r="A566" t="s">
        <v>1041</v>
      </c>
      <c r="B566" t="s">
        <v>1042</v>
      </c>
      <c r="C566">
        <v>80</v>
      </c>
      <c r="D566" t="s">
        <v>23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1.3</v>
      </c>
      <c r="L566">
        <v>1</v>
      </c>
      <c r="M566">
        <v>1</v>
      </c>
      <c r="N566">
        <v>1</v>
      </c>
      <c r="O566">
        <v>1</v>
      </c>
    </row>
    <row r="567" spans="1:15" x14ac:dyDescent="0.2">
      <c r="A567" t="s">
        <v>1043</v>
      </c>
      <c r="B567" t="s">
        <v>1044</v>
      </c>
      <c r="C567">
        <v>600</v>
      </c>
      <c r="D567" t="s">
        <v>544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1.2</v>
      </c>
      <c r="M567">
        <v>1</v>
      </c>
      <c r="N567">
        <v>1</v>
      </c>
      <c r="O567">
        <v>1</v>
      </c>
    </row>
    <row r="568" spans="1:15" x14ac:dyDescent="0.2">
      <c r="A568" t="s">
        <v>1045</v>
      </c>
      <c r="B568" t="s">
        <v>1046</v>
      </c>
      <c r="C568">
        <v>40</v>
      </c>
      <c r="D568" t="s">
        <v>147</v>
      </c>
      <c r="E568">
        <v>1.5</v>
      </c>
      <c r="F568">
        <v>1</v>
      </c>
      <c r="G568">
        <v>1</v>
      </c>
      <c r="H568">
        <v>1</v>
      </c>
      <c r="I568">
        <v>1.25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</row>
    <row r="569" spans="1:15" x14ac:dyDescent="0.2">
      <c r="A569" t="s">
        <v>1047</v>
      </c>
      <c r="B569" t="s">
        <v>1048</v>
      </c>
      <c r="C569">
        <v>60</v>
      </c>
      <c r="D569" t="s">
        <v>16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 x14ac:dyDescent="0.2">
      <c r="A570" t="s">
        <v>1049</v>
      </c>
      <c r="B570" t="s">
        <v>1050</v>
      </c>
      <c r="C570">
        <v>300</v>
      </c>
      <c r="D570" t="s">
        <v>26</v>
      </c>
      <c r="E570">
        <v>1</v>
      </c>
      <c r="F570">
        <v>1.4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</row>
    <row r="571" spans="1:15" x14ac:dyDescent="0.2">
      <c r="A571" t="s">
        <v>1051</v>
      </c>
      <c r="B571" t="s">
        <v>1052</v>
      </c>
      <c r="C571">
        <v>150</v>
      </c>
      <c r="D571" t="s">
        <v>152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</row>
    <row r="572" spans="1:15" x14ac:dyDescent="0.2">
      <c r="A572" t="s">
        <v>1053</v>
      </c>
      <c r="B572" t="s">
        <v>1054</v>
      </c>
      <c r="C572">
        <v>100</v>
      </c>
      <c r="D572" t="s">
        <v>16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</row>
    <row r="573" spans="1:15" x14ac:dyDescent="0.2">
      <c r="A573" t="s">
        <v>1055</v>
      </c>
      <c r="B573" t="s">
        <v>1056</v>
      </c>
      <c r="C573">
        <v>80</v>
      </c>
      <c r="D573" t="s">
        <v>152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</row>
    <row r="574" spans="1:15" x14ac:dyDescent="0.2">
      <c r="A574" t="s">
        <v>1057</v>
      </c>
      <c r="B574" t="s">
        <v>1058</v>
      </c>
      <c r="C574">
        <v>35</v>
      </c>
      <c r="D574" t="s">
        <v>155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1.2</v>
      </c>
    </row>
    <row r="575" spans="1:15" x14ac:dyDescent="0.2">
      <c r="A575" t="s">
        <v>1059</v>
      </c>
      <c r="B575" t="s">
        <v>1060</v>
      </c>
      <c r="C575">
        <v>120</v>
      </c>
      <c r="D575" t="s">
        <v>26</v>
      </c>
      <c r="E575">
        <v>1</v>
      </c>
      <c r="F575">
        <v>1.4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</row>
    <row r="576" spans="1:15" x14ac:dyDescent="0.2">
      <c r="A576" t="s">
        <v>1061</v>
      </c>
      <c r="B576" t="s">
        <v>1062</v>
      </c>
      <c r="C576">
        <v>10</v>
      </c>
      <c r="D576" t="s">
        <v>16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</row>
    <row r="577" spans="1:15" x14ac:dyDescent="0.2">
      <c r="A577" t="s">
        <v>1063</v>
      </c>
      <c r="B577" t="s">
        <v>1064</v>
      </c>
      <c r="C577">
        <v>120</v>
      </c>
      <c r="D577" t="s">
        <v>152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</row>
    <row r="578" spans="1:15" x14ac:dyDescent="0.2">
      <c r="A578" t="s">
        <v>1065</v>
      </c>
      <c r="B578" t="s">
        <v>1066</v>
      </c>
      <c r="C578">
        <v>140</v>
      </c>
      <c r="D578" t="s">
        <v>178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1.2</v>
      </c>
    </row>
    <row r="579" spans="1:15" x14ac:dyDescent="0.2">
      <c r="A579" t="s">
        <v>1067</v>
      </c>
      <c r="B579" t="s">
        <v>1068</v>
      </c>
      <c r="C579">
        <v>330</v>
      </c>
      <c r="D579" t="s">
        <v>26</v>
      </c>
      <c r="E579">
        <v>1</v>
      </c>
      <c r="F579">
        <v>1.4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</row>
    <row r="580" spans="1:15" x14ac:dyDescent="0.2">
      <c r="A580" t="s">
        <v>1069</v>
      </c>
      <c r="B580" t="s">
        <v>1070</v>
      </c>
      <c r="C580">
        <v>1500</v>
      </c>
      <c r="D580" t="s">
        <v>16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</row>
    <row r="581" spans="1:15" x14ac:dyDescent="0.2">
      <c r="A581" t="s">
        <v>1071</v>
      </c>
      <c r="B581" t="s">
        <v>1072</v>
      </c>
      <c r="C581">
        <v>420</v>
      </c>
      <c r="D581" t="s">
        <v>26</v>
      </c>
      <c r="E581">
        <v>1</v>
      </c>
      <c r="F581">
        <v>1.4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</row>
    <row r="582" spans="1:15" x14ac:dyDescent="0.2">
      <c r="A582" t="s">
        <v>1073</v>
      </c>
      <c r="B582" t="s">
        <v>1074</v>
      </c>
      <c r="C582">
        <v>2500</v>
      </c>
      <c r="D582" t="s">
        <v>16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</row>
    <row r="583" spans="1:15" x14ac:dyDescent="0.2">
      <c r="A583" t="s">
        <v>1075</v>
      </c>
      <c r="B583" t="s">
        <v>1076</v>
      </c>
      <c r="C583">
        <v>200</v>
      </c>
      <c r="D583" t="s">
        <v>152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</row>
    <row r="584" spans="1:15" x14ac:dyDescent="0.2">
      <c r="A584" t="s">
        <v>1077</v>
      </c>
      <c r="B584" t="s">
        <v>1078</v>
      </c>
      <c r="C584">
        <v>20</v>
      </c>
      <c r="D584" t="s">
        <v>16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</row>
    <row r="585" spans="1:15" x14ac:dyDescent="0.2">
      <c r="A585" t="s">
        <v>1079</v>
      </c>
      <c r="B585" t="s">
        <v>1080</v>
      </c>
      <c r="C585">
        <v>55</v>
      </c>
      <c r="D585" t="s">
        <v>147</v>
      </c>
      <c r="E585">
        <v>1.5</v>
      </c>
      <c r="F585">
        <v>1</v>
      </c>
      <c r="G585">
        <v>1</v>
      </c>
      <c r="H585">
        <v>1</v>
      </c>
      <c r="I585">
        <v>1.25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</row>
    <row r="586" spans="1:15" x14ac:dyDescent="0.2">
      <c r="A586" t="s">
        <v>1081</v>
      </c>
      <c r="B586" t="s">
        <v>1082</v>
      </c>
      <c r="C586">
        <v>82</v>
      </c>
      <c r="D586" t="s">
        <v>16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</row>
    <row r="587" spans="1:15" x14ac:dyDescent="0.2">
      <c r="A587" t="s">
        <v>1083</v>
      </c>
      <c r="B587" t="s">
        <v>1084</v>
      </c>
      <c r="C587">
        <v>20</v>
      </c>
      <c r="D587" t="s">
        <v>147</v>
      </c>
      <c r="E587">
        <v>1.5</v>
      </c>
      <c r="F587">
        <v>1</v>
      </c>
      <c r="G587">
        <v>1</v>
      </c>
      <c r="H587">
        <v>1</v>
      </c>
      <c r="I587">
        <v>1.25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</row>
    <row r="588" spans="1:15" x14ac:dyDescent="0.2">
      <c r="A588" t="s">
        <v>1085</v>
      </c>
      <c r="B588" t="s">
        <v>1086</v>
      </c>
      <c r="C588">
        <v>30</v>
      </c>
      <c r="D588" t="s">
        <v>16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</row>
    <row r="589" spans="1:15" x14ac:dyDescent="0.2">
      <c r="A589" t="s">
        <v>1896</v>
      </c>
      <c r="B589" t="s">
        <v>1897</v>
      </c>
      <c r="C589">
        <v>0</v>
      </c>
      <c r="D589" t="s">
        <v>16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</row>
    <row r="590" spans="1:15" x14ac:dyDescent="0.2">
      <c r="A590" t="s">
        <v>1087</v>
      </c>
      <c r="B590" t="s">
        <v>1088</v>
      </c>
      <c r="C590">
        <v>120</v>
      </c>
      <c r="D590" t="s">
        <v>23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1.3</v>
      </c>
      <c r="L590">
        <v>1</v>
      </c>
      <c r="M590">
        <v>1</v>
      </c>
      <c r="N590">
        <v>1</v>
      </c>
      <c r="O590">
        <v>1</v>
      </c>
    </row>
    <row r="591" spans="1:15" x14ac:dyDescent="0.2">
      <c r="A591" t="s">
        <v>1089</v>
      </c>
      <c r="B591" t="s">
        <v>1090</v>
      </c>
      <c r="C591">
        <v>200</v>
      </c>
      <c r="D591" t="s">
        <v>16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</row>
    <row r="592" spans="1:15" x14ac:dyDescent="0.2">
      <c r="A592" t="s">
        <v>1091</v>
      </c>
      <c r="B592" t="s">
        <v>1092</v>
      </c>
      <c r="C592">
        <v>450</v>
      </c>
      <c r="D592" t="s">
        <v>26</v>
      </c>
      <c r="E592">
        <v>1</v>
      </c>
      <c r="F592">
        <v>1.4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</row>
    <row r="593" spans="1:15" x14ac:dyDescent="0.2">
      <c r="A593" t="s">
        <v>1093</v>
      </c>
      <c r="B593" t="s">
        <v>1094</v>
      </c>
      <c r="C593">
        <v>480</v>
      </c>
      <c r="D593" t="s">
        <v>26</v>
      </c>
      <c r="E593">
        <v>1</v>
      </c>
      <c r="F593">
        <v>1.4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</row>
    <row r="594" spans="1:15" x14ac:dyDescent="0.2">
      <c r="A594" t="s">
        <v>1095</v>
      </c>
      <c r="B594" t="s">
        <v>1096</v>
      </c>
      <c r="C594">
        <v>300</v>
      </c>
      <c r="D594" t="s">
        <v>26</v>
      </c>
      <c r="E594">
        <v>1</v>
      </c>
      <c r="F594">
        <v>1.4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</row>
    <row r="595" spans="1:15" x14ac:dyDescent="0.2">
      <c r="A595" t="s">
        <v>1097</v>
      </c>
      <c r="B595" t="s">
        <v>1098</v>
      </c>
      <c r="C595">
        <v>240</v>
      </c>
      <c r="D595" t="s">
        <v>26</v>
      </c>
      <c r="E595">
        <v>1</v>
      </c>
      <c r="F595">
        <v>1.4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</row>
    <row r="596" spans="1:15" x14ac:dyDescent="0.2">
      <c r="A596" t="s">
        <v>1898</v>
      </c>
      <c r="B596" t="s">
        <v>1899</v>
      </c>
      <c r="C596">
        <v>210</v>
      </c>
      <c r="D596" t="s">
        <v>26</v>
      </c>
      <c r="E596">
        <v>1</v>
      </c>
      <c r="F596">
        <v>1.4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</row>
    <row r="597" spans="1:15" x14ac:dyDescent="0.2">
      <c r="A597" t="s">
        <v>1900</v>
      </c>
      <c r="B597" t="s">
        <v>1901</v>
      </c>
      <c r="C597">
        <v>105</v>
      </c>
      <c r="D597" t="s">
        <v>26</v>
      </c>
      <c r="E597">
        <v>1</v>
      </c>
      <c r="F597">
        <v>1.4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</row>
    <row r="598" spans="1:15" x14ac:dyDescent="0.2">
      <c r="A598" t="s">
        <v>1099</v>
      </c>
      <c r="B598" t="s">
        <v>1100</v>
      </c>
      <c r="C598">
        <v>525</v>
      </c>
      <c r="D598" t="s">
        <v>26</v>
      </c>
      <c r="E598">
        <v>1</v>
      </c>
      <c r="F598">
        <v>1.4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</row>
    <row r="599" spans="1:15" x14ac:dyDescent="0.2">
      <c r="A599" t="s">
        <v>1101</v>
      </c>
      <c r="B599" t="s">
        <v>1102</v>
      </c>
      <c r="C599">
        <v>150</v>
      </c>
      <c r="D599" t="s">
        <v>26</v>
      </c>
      <c r="E599">
        <v>1</v>
      </c>
      <c r="F599">
        <v>1.4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</row>
    <row r="600" spans="1:15" x14ac:dyDescent="0.2">
      <c r="A600" t="s">
        <v>1103</v>
      </c>
      <c r="B600" t="s">
        <v>1104</v>
      </c>
      <c r="C600">
        <v>180</v>
      </c>
      <c r="D600" t="s">
        <v>26</v>
      </c>
      <c r="E600">
        <v>1</v>
      </c>
      <c r="F600">
        <v>1.4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</row>
    <row r="601" spans="1:15" x14ac:dyDescent="0.2">
      <c r="A601" t="s">
        <v>1105</v>
      </c>
      <c r="B601" t="s">
        <v>1106</v>
      </c>
      <c r="C601">
        <v>270</v>
      </c>
      <c r="D601" t="s">
        <v>26</v>
      </c>
      <c r="E601">
        <v>1</v>
      </c>
      <c r="F601">
        <v>1.4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</row>
    <row r="602" spans="1:15" x14ac:dyDescent="0.2">
      <c r="A602" t="s">
        <v>1107</v>
      </c>
      <c r="B602" t="s">
        <v>1108</v>
      </c>
      <c r="C602">
        <v>180</v>
      </c>
      <c r="D602" t="s">
        <v>26</v>
      </c>
      <c r="E602">
        <v>1</v>
      </c>
      <c r="F602">
        <v>1.4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</row>
    <row r="603" spans="1:15" x14ac:dyDescent="0.2">
      <c r="A603" t="s">
        <v>1109</v>
      </c>
      <c r="B603" t="s">
        <v>1110</v>
      </c>
      <c r="C603">
        <v>120</v>
      </c>
      <c r="D603" t="s">
        <v>26</v>
      </c>
      <c r="E603">
        <v>1</v>
      </c>
      <c r="F603">
        <v>1.4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</row>
    <row r="604" spans="1:15" x14ac:dyDescent="0.2">
      <c r="A604" t="s">
        <v>1111</v>
      </c>
      <c r="B604" t="s">
        <v>1112</v>
      </c>
      <c r="C604">
        <v>330</v>
      </c>
      <c r="D604" t="s">
        <v>26</v>
      </c>
      <c r="E604">
        <v>1</v>
      </c>
      <c r="F604">
        <v>1.4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</row>
    <row r="605" spans="1:15" x14ac:dyDescent="0.2">
      <c r="A605" t="s">
        <v>1113</v>
      </c>
      <c r="B605" t="s">
        <v>1114</v>
      </c>
      <c r="C605">
        <v>105</v>
      </c>
      <c r="D605" t="s">
        <v>26</v>
      </c>
      <c r="E605">
        <v>1</v>
      </c>
      <c r="F605">
        <v>1.4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</row>
    <row r="606" spans="1:15" x14ac:dyDescent="0.2">
      <c r="A606" t="s">
        <v>1115</v>
      </c>
      <c r="B606" t="s">
        <v>1116</v>
      </c>
      <c r="C606">
        <v>240</v>
      </c>
      <c r="D606" t="s">
        <v>26</v>
      </c>
      <c r="E606">
        <v>1</v>
      </c>
      <c r="F606">
        <v>1.4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</row>
    <row r="607" spans="1:15" x14ac:dyDescent="0.2">
      <c r="A607" t="s">
        <v>1117</v>
      </c>
      <c r="B607" t="s">
        <v>1118</v>
      </c>
      <c r="C607">
        <v>960</v>
      </c>
      <c r="D607" t="s">
        <v>26</v>
      </c>
      <c r="E607">
        <v>1</v>
      </c>
      <c r="F607">
        <v>1.4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</row>
    <row r="608" spans="1:15" x14ac:dyDescent="0.2">
      <c r="A608" t="s">
        <v>1119</v>
      </c>
      <c r="B608" t="s">
        <v>1120</v>
      </c>
      <c r="C608">
        <v>270</v>
      </c>
      <c r="D608" t="s">
        <v>26</v>
      </c>
      <c r="E608">
        <v>1</v>
      </c>
      <c r="F608">
        <v>1.4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</row>
    <row r="609" spans="1:15" x14ac:dyDescent="0.2">
      <c r="A609" t="s">
        <v>1121</v>
      </c>
      <c r="B609" t="s">
        <v>1122</v>
      </c>
      <c r="C609">
        <v>780</v>
      </c>
      <c r="D609" t="s">
        <v>26</v>
      </c>
      <c r="E609">
        <v>1</v>
      </c>
      <c r="F609">
        <v>1.4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</row>
    <row r="610" spans="1:15" x14ac:dyDescent="0.2">
      <c r="A610" t="s">
        <v>1902</v>
      </c>
      <c r="B610" t="s">
        <v>1903</v>
      </c>
      <c r="C610">
        <v>135</v>
      </c>
      <c r="D610" t="s">
        <v>26</v>
      </c>
      <c r="E610">
        <v>1</v>
      </c>
      <c r="F610">
        <v>1.4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</row>
    <row r="611" spans="1:15" x14ac:dyDescent="0.2">
      <c r="A611" t="s">
        <v>1123</v>
      </c>
      <c r="B611" t="s">
        <v>1124</v>
      </c>
      <c r="C611">
        <v>300</v>
      </c>
      <c r="D611" t="s">
        <v>26</v>
      </c>
      <c r="E611">
        <v>1</v>
      </c>
      <c r="F611">
        <v>1.4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</row>
    <row r="612" spans="1:15" x14ac:dyDescent="0.2">
      <c r="A612" t="s">
        <v>1125</v>
      </c>
      <c r="B612" t="s">
        <v>1126</v>
      </c>
      <c r="C612">
        <v>180</v>
      </c>
      <c r="D612" t="s">
        <v>26</v>
      </c>
      <c r="E612">
        <v>1</v>
      </c>
      <c r="F612">
        <v>1.4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</row>
    <row r="613" spans="1:15" x14ac:dyDescent="0.2">
      <c r="A613" t="s">
        <v>1127</v>
      </c>
      <c r="B613" t="s">
        <v>1128</v>
      </c>
      <c r="C613">
        <v>90</v>
      </c>
      <c r="D613" t="s">
        <v>26</v>
      </c>
      <c r="E613">
        <v>1</v>
      </c>
      <c r="F613">
        <v>1.4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</row>
    <row r="614" spans="1:15" x14ac:dyDescent="0.2">
      <c r="A614" t="s">
        <v>1129</v>
      </c>
      <c r="B614" t="s">
        <v>1130</v>
      </c>
      <c r="C614">
        <v>480</v>
      </c>
      <c r="D614" t="s">
        <v>26</v>
      </c>
      <c r="E614">
        <v>1</v>
      </c>
      <c r="F614">
        <v>1.4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</row>
    <row r="615" spans="1:15" x14ac:dyDescent="0.2">
      <c r="A615" t="s">
        <v>1131</v>
      </c>
      <c r="B615" t="s">
        <v>1132</v>
      </c>
      <c r="C615">
        <v>100</v>
      </c>
      <c r="D615" t="s">
        <v>26</v>
      </c>
      <c r="E615">
        <v>1</v>
      </c>
      <c r="F615">
        <v>1.4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</row>
    <row r="616" spans="1:15" x14ac:dyDescent="0.2">
      <c r="A616" t="s">
        <v>1133</v>
      </c>
      <c r="B616" t="s">
        <v>1134</v>
      </c>
      <c r="C616">
        <v>0</v>
      </c>
      <c r="D616" t="s">
        <v>16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</row>
    <row r="617" spans="1:15" x14ac:dyDescent="0.2">
      <c r="A617" t="s">
        <v>1135</v>
      </c>
      <c r="B617" t="s">
        <v>1136</v>
      </c>
      <c r="C617">
        <v>100</v>
      </c>
      <c r="D617" t="s">
        <v>147</v>
      </c>
      <c r="E617">
        <v>1.5</v>
      </c>
      <c r="F617">
        <v>1</v>
      </c>
      <c r="G617">
        <v>1</v>
      </c>
      <c r="H617">
        <v>1</v>
      </c>
      <c r="I617">
        <v>1.25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</row>
    <row r="618" spans="1:15" x14ac:dyDescent="0.2">
      <c r="A618" t="s">
        <v>1137</v>
      </c>
      <c r="B618" t="s">
        <v>1138</v>
      </c>
      <c r="C618">
        <v>150</v>
      </c>
      <c r="D618" t="s">
        <v>16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</row>
    <row r="619" spans="1:15" x14ac:dyDescent="0.2">
      <c r="A619" t="s">
        <v>1139</v>
      </c>
      <c r="B619" t="s">
        <v>1140</v>
      </c>
      <c r="C619">
        <v>5</v>
      </c>
      <c r="D619" t="s">
        <v>16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</row>
    <row r="620" spans="1:15" x14ac:dyDescent="0.2">
      <c r="A620" t="s">
        <v>1141</v>
      </c>
      <c r="B620" t="s">
        <v>1142</v>
      </c>
      <c r="C620">
        <v>100</v>
      </c>
      <c r="D620" t="s">
        <v>291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1.25</v>
      </c>
      <c r="O620">
        <v>1</v>
      </c>
    </row>
    <row r="621" spans="1:15" x14ac:dyDescent="0.2">
      <c r="A621" t="s">
        <v>1143</v>
      </c>
      <c r="B621" t="s">
        <v>1144</v>
      </c>
      <c r="C621">
        <v>300</v>
      </c>
      <c r="D621" t="s">
        <v>178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1.2</v>
      </c>
    </row>
    <row r="622" spans="1:15" x14ac:dyDescent="0.2">
      <c r="A622" t="s">
        <v>1145</v>
      </c>
      <c r="B622" t="s">
        <v>1146</v>
      </c>
      <c r="C622">
        <v>650</v>
      </c>
      <c r="D622" t="s">
        <v>26</v>
      </c>
      <c r="E622">
        <v>1</v>
      </c>
      <c r="F622">
        <v>1.4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</row>
    <row r="623" spans="1:15" x14ac:dyDescent="0.2">
      <c r="A623" t="s">
        <v>1147</v>
      </c>
      <c r="B623" t="s">
        <v>1148</v>
      </c>
      <c r="C623">
        <v>240</v>
      </c>
      <c r="D623" t="s">
        <v>16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</row>
    <row r="624" spans="1:15" x14ac:dyDescent="0.2">
      <c r="A624" t="s">
        <v>1149</v>
      </c>
      <c r="B624" t="s">
        <v>1150</v>
      </c>
      <c r="C624">
        <v>900</v>
      </c>
      <c r="D624" t="s">
        <v>26</v>
      </c>
      <c r="E624">
        <v>1</v>
      </c>
      <c r="F624">
        <v>1.4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</row>
    <row r="625" spans="1:15" x14ac:dyDescent="0.2">
      <c r="A625" t="s">
        <v>1151</v>
      </c>
      <c r="B625" t="s">
        <v>1152</v>
      </c>
      <c r="C625">
        <v>480</v>
      </c>
      <c r="D625" t="s">
        <v>152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</row>
    <row r="626" spans="1:15" x14ac:dyDescent="0.2">
      <c r="A626" t="s">
        <v>1153</v>
      </c>
      <c r="B626" t="s">
        <v>1154</v>
      </c>
      <c r="C626">
        <v>0</v>
      </c>
      <c r="D626" t="s">
        <v>16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</row>
    <row r="627" spans="1:15" x14ac:dyDescent="0.2">
      <c r="A627" t="s">
        <v>1155</v>
      </c>
      <c r="B627" t="s">
        <v>1156</v>
      </c>
      <c r="C627">
        <v>300</v>
      </c>
      <c r="D627" t="s">
        <v>152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</row>
    <row r="628" spans="1:15" x14ac:dyDescent="0.2">
      <c r="A628" t="s">
        <v>1157</v>
      </c>
      <c r="B628" t="s">
        <v>1158</v>
      </c>
      <c r="C628">
        <v>300</v>
      </c>
      <c r="D628" t="s">
        <v>152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</row>
    <row r="629" spans="1:15" x14ac:dyDescent="0.2">
      <c r="A629" t="s">
        <v>1159</v>
      </c>
      <c r="B629" t="s">
        <v>1160</v>
      </c>
      <c r="C629">
        <v>260</v>
      </c>
      <c r="D629" t="s">
        <v>152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</row>
    <row r="630" spans="1:15" x14ac:dyDescent="0.2">
      <c r="A630" t="s">
        <v>1161</v>
      </c>
      <c r="B630" t="s">
        <v>1162</v>
      </c>
      <c r="C630">
        <v>400</v>
      </c>
      <c r="D630" t="s">
        <v>152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</row>
    <row r="631" spans="1:15" x14ac:dyDescent="0.2">
      <c r="A631" t="s">
        <v>1163</v>
      </c>
      <c r="B631" t="s">
        <v>1164</v>
      </c>
      <c r="C631">
        <v>140</v>
      </c>
      <c r="D631" t="s">
        <v>178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1.2</v>
      </c>
    </row>
    <row r="632" spans="1:15" x14ac:dyDescent="0.2">
      <c r="A632" t="s">
        <v>1165</v>
      </c>
      <c r="B632" t="s">
        <v>1166</v>
      </c>
      <c r="C632">
        <v>330</v>
      </c>
      <c r="D632" t="s">
        <v>26</v>
      </c>
      <c r="E632">
        <v>1</v>
      </c>
      <c r="F632">
        <v>1.4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</row>
    <row r="633" spans="1:15" x14ac:dyDescent="0.2">
      <c r="A633" t="s">
        <v>1167</v>
      </c>
      <c r="B633" t="s">
        <v>1168</v>
      </c>
      <c r="C633">
        <v>1500</v>
      </c>
      <c r="D633" t="s">
        <v>16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</row>
    <row r="634" spans="1:15" x14ac:dyDescent="0.2">
      <c r="A634" t="s">
        <v>1169</v>
      </c>
      <c r="B634" t="s">
        <v>1170</v>
      </c>
      <c r="C634">
        <v>420</v>
      </c>
      <c r="D634" t="s">
        <v>26</v>
      </c>
      <c r="E634">
        <v>1</v>
      </c>
      <c r="F634">
        <v>1.4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</row>
    <row r="635" spans="1:15" x14ac:dyDescent="0.2">
      <c r="A635" t="s">
        <v>1171</v>
      </c>
      <c r="B635" t="s">
        <v>1172</v>
      </c>
      <c r="C635">
        <v>140</v>
      </c>
      <c r="D635" t="s">
        <v>291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1.2</v>
      </c>
    </row>
    <row r="636" spans="1:15" x14ac:dyDescent="0.2">
      <c r="A636" t="s">
        <v>1173</v>
      </c>
      <c r="B636" t="s">
        <v>1174</v>
      </c>
      <c r="C636">
        <v>380</v>
      </c>
      <c r="D636" t="s">
        <v>26</v>
      </c>
      <c r="E636">
        <v>1</v>
      </c>
      <c r="F636">
        <v>1.4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</row>
    <row r="637" spans="1:15" x14ac:dyDescent="0.2">
      <c r="A637" t="s">
        <v>1175</v>
      </c>
      <c r="B637" t="s">
        <v>1176</v>
      </c>
      <c r="C637">
        <v>50</v>
      </c>
      <c r="D637" t="s">
        <v>16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</row>
    <row r="638" spans="1:15" x14ac:dyDescent="0.2">
      <c r="A638" t="s">
        <v>1177</v>
      </c>
      <c r="B638" t="s">
        <v>1178</v>
      </c>
      <c r="C638">
        <v>250</v>
      </c>
      <c r="D638" t="s">
        <v>152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</row>
    <row r="639" spans="1:15" x14ac:dyDescent="0.2">
      <c r="A639" t="s">
        <v>1904</v>
      </c>
      <c r="B639" t="s">
        <v>1905</v>
      </c>
      <c r="C639">
        <v>0</v>
      </c>
      <c r="D639" t="s">
        <v>16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</row>
    <row r="640" spans="1:15" x14ac:dyDescent="0.2">
      <c r="A640" t="s">
        <v>1179</v>
      </c>
      <c r="B640" t="s">
        <v>1180</v>
      </c>
      <c r="C640">
        <v>80</v>
      </c>
      <c r="D640" t="s">
        <v>155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1.2</v>
      </c>
    </row>
    <row r="641" spans="1:15" x14ac:dyDescent="0.2">
      <c r="A641" t="s">
        <v>1181</v>
      </c>
      <c r="B641" t="s">
        <v>1182</v>
      </c>
      <c r="C641">
        <v>210</v>
      </c>
      <c r="D641" t="s">
        <v>26</v>
      </c>
      <c r="E641">
        <v>1</v>
      </c>
      <c r="F641">
        <v>1.4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</row>
    <row r="642" spans="1:15" x14ac:dyDescent="0.2">
      <c r="A642" t="s">
        <v>1183</v>
      </c>
      <c r="B642" t="s">
        <v>1184</v>
      </c>
      <c r="C642">
        <v>25</v>
      </c>
      <c r="D642" t="s">
        <v>16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</row>
    <row r="643" spans="1:15" x14ac:dyDescent="0.2">
      <c r="A643" t="s">
        <v>1906</v>
      </c>
      <c r="B643" t="s">
        <v>1907</v>
      </c>
      <c r="C643">
        <v>60</v>
      </c>
      <c r="D643" t="s">
        <v>178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1.2</v>
      </c>
    </row>
    <row r="644" spans="1:15" x14ac:dyDescent="0.2">
      <c r="A644" t="s">
        <v>1908</v>
      </c>
      <c r="B644" t="s">
        <v>1909</v>
      </c>
      <c r="C644">
        <v>170</v>
      </c>
      <c r="D644" t="s">
        <v>26</v>
      </c>
      <c r="E644">
        <v>1</v>
      </c>
      <c r="F644">
        <v>1.4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</row>
    <row r="645" spans="1:15" x14ac:dyDescent="0.2">
      <c r="A645" t="s">
        <v>1910</v>
      </c>
      <c r="B645" t="s">
        <v>1911</v>
      </c>
      <c r="C645">
        <v>20</v>
      </c>
      <c r="D645" t="s">
        <v>16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</row>
    <row r="646" spans="1:15" x14ac:dyDescent="0.2">
      <c r="A646" t="s">
        <v>1912</v>
      </c>
      <c r="B646" t="s">
        <v>1913</v>
      </c>
      <c r="C646">
        <v>180</v>
      </c>
      <c r="D646" t="s">
        <v>26</v>
      </c>
      <c r="E646">
        <v>1</v>
      </c>
      <c r="F646">
        <v>1.4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</row>
    <row r="647" spans="1:15" x14ac:dyDescent="0.2">
      <c r="A647" t="s">
        <v>1185</v>
      </c>
      <c r="B647" t="s">
        <v>1186</v>
      </c>
      <c r="C647">
        <v>50</v>
      </c>
      <c r="D647" t="s">
        <v>16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</row>
    <row r="648" spans="1:15" x14ac:dyDescent="0.2">
      <c r="A648" t="s">
        <v>1187</v>
      </c>
      <c r="B648" t="s">
        <v>1188</v>
      </c>
      <c r="C648">
        <v>100</v>
      </c>
      <c r="D648" t="s">
        <v>16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</row>
    <row r="649" spans="1:15" x14ac:dyDescent="0.2">
      <c r="A649" t="s">
        <v>1189</v>
      </c>
      <c r="B649" t="s">
        <v>1190</v>
      </c>
      <c r="C649">
        <v>100</v>
      </c>
      <c r="D649" t="s">
        <v>16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</row>
    <row r="650" spans="1:15" x14ac:dyDescent="0.2">
      <c r="A650" t="s">
        <v>1191</v>
      </c>
      <c r="B650" t="s">
        <v>1192</v>
      </c>
      <c r="C650">
        <v>100</v>
      </c>
      <c r="D650" t="s">
        <v>16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</row>
    <row r="651" spans="1:15" x14ac:dyDescent="0.2">
      <c r="A651" t="s">
        <v>1193</v>
      </c>
      <c r="B651" t="s">
        <v>1194</v>
      </c>
      <c r="C651">
        <v>100</v>
      </c>
      <c r="D651" t="s">
        <v>16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</row>
    <row r="652" spans="1:15" x14ac:dyDescent="0.2">
      <c r="A652" t="s">
        <v>1195</v>
      </c>
      <c r="B652" t="s">
        <v>1196</v>
      </c>
      <c r="C652">
        <v>50</v>
      </c>
      <c r="D652" t="s">
        <v>16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</row>
    <row r="653" spans="1:15" x14ac:dyDescent="0.2">
      <c r="A653" t="s">
        <v>1197</v>
      </c>
      <c r="B653" t="s">
        <v>1198</v>
      </c>
      <c r="C653">
        <v>100</v>
      </c>
      <c r="D653" t="s">
        <v>16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</row>
    <row r="654" spans="1:15" x14ac:dyDescent="0.2">
      <c r="A654" t="s">
        <v>1199</v>
      </c>
      <c r="B654" t="s">
        <v>1200</v>
      </c>
      <c r="C654">
        <v>200</v>
      </c>
      <c r="D654" t="s">
        <v>16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</row>
    <row r="655" spans="1:15" x14ac:dyDescent="0.2">
      <c r="A655" t="s">
        <v>1914</v>
      </c>
      <c r="B655" t="s">
        <v>1915</v>
      </c>
      <c r="C655">
        <v>1000</v>
      </c>
      <c r="D655" t="s">
        <v>16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</row>
    <row r="656" spans="1:15" x14ac:dyDescent="0.2">
      <c r="A656" t="s">
        <v>1201</v>
      </c>
      <c r="B656" t="s">
        <v>1202</v>
      </c>
      <c r="C656">
        <v>0</v>
      </c>
      <c r="D656" t="s">
        <v>16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</row>
    <row r="657" spans="1:15" x14ac:dyDescent="0.2">
      <c r="A657" t="s">
        <v>1203</v>
      </c>
      <c r="B657" t="s">
        <v>1204</v>
      </c>
      <c r="C657">
        <v>2000</v>
      </c>
      <c r="D657" t="s">
        <v>23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1.3</v>
      </c>
      <c r="L657">
        <v>1</v>
      </c>
      <c r="M657">
        <v>1</v>
      </c>
      <c r="N657">
        <v>1</v>
      </c>
      <c r="O657">
        <v>1</v>
      </c>
    </row>
    <row r="658" spans="1:15" x14ac:dyDescent="0.2">
      <c r="A658" t="s">
        <v>1916</v>
      </c>
      <c r="B658" t="s">
        <v>1917</v>
      </c>
      <c r="C658">
        <v>1</v>
      </c>
      <c r="D658" t="s">
        <v>16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</row>
    <row r="659" spans="1:15" x14ac:dyDescent="0.2">
      <c r="A659" t="s">
        <v>1205</v>
      </c>
      <c r="B659" t="s">
        <v>1206</v>
      </c>
      <c r="C659">
        <v>200</v>
      </c>
      <c r="D659" t="s">
        <v>16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</row>
    <row r="660" spans="1:15" x14ac:dyDescent="0.2">
      <c r="A660" t="s">
        <v>1207</v>
      </c>
      <c r="B660" t="s">
        <v>1208</v>
      </c>
      <c r="C660">
        <v>200</v>
      </c>
      <c r="D660" t="s">
        <v>147</v>
      </c>
      <c r="E660">
        <v>1.5</v>
      </c>
      <c r="F660">
        <v>1</v>
      </c>
      <c r="G660">
        <v>1</v>
      </c>
      <c r="H660">
        <v>1</v>
      </c>
      <c r="I660">
        <v>1.25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</row>
    <row r="661" spans="1:15" x14ac:dyDescent="0.2">
      <c r="A661" t="s">
        <v>1209</v>
      </c>
      <c r="B661" t="s">
        <v>1210</v>
      </c>
      <c r="C661">
        <v>300</v>
      </c>
      <c r="D661" t="s">
        <v>16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</row>
    <row r="662" spans="1:15" x14ac:dyDescent="0.2">
      <c r="A662" t="s">
        <v>1211</v>
      </c>
      <c r="B662" t="s">
        <v>1212</v>
      </c>
      <c r="C662">
        <v>320</v>
      </c>
      <c r="D662" t="s">
        <v>155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1.2</v>
      </c>
    </row>
    <row r="663" spans="1:15" x14ac:dyDescent="0.2">
      <c r="A663" t="s">
        <v>1213</v>
      </c>
      <c r="B663" t="s">
        <v>1214</v>
      </c>
      <c r="C663">
        <v>690</v>
      </c>
      <c r="D663" t="s">
        <v>26</v>
      </c>
      <c r="E663">
        <v>1</v>
      </c>
      <c r="F663">
        <v>1.4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</row>
    <row r="664" spans="1:15" x14ac:dyDescent="0.2">
      <c r="A664" t="s">
        <v>1215</v>
      </c>
      <c r="B664" t="s">
        <v>1216</v>
      </c>
      <c r="C664">
        <v>385</v>
      </c>
      <c r="D664" t="s">
        <v>152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</row>
    <row r="665" spans="1:15" x14ac:dyDescent="0.2">
      <c r="A665" t="s">
        <v>1217</v>
      </c>
      <c r="B665" t="s">
        <v>1218</v>
      </c>
      <c r="C665">
        <v>50</v>
      </c>
      <c r="D665" t="s">
        <v>16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</row>
    <row r="666" spans="1:15" x14ac:dyDescent="0.2">
      <c r="A666" t="s">
        <v>1219</v>
      </c>
      <c r="B666" t="s">
        <v>1220</v>
      </c>
      <c r="C666">
        <v>300</v>
      </c>
      <c r="D666" t="s">
        <v>152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</row>
    <row r="667" spans="1:15" x14ac:dyDescent="0.2">
      <c r="A667" t="s">
        <v>1221</v>
      </c>
      <c r="B667" t="s">
        <v>1222</v>
      </c>
      <c r="C667">
        <v>250</v>
      </c>
      <c r="D667" t="s">
        <v>291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</row>
    <row r="668" spans="1:15" x14ac:dyDescent="0.2">
      <c r="A668" t="s">
        <v>1223</v>
      </c>
      <c r="B668" t="s">
        <v>1224</v>
      </c>
      <c r="C668">
        <v>5000</v>
      </c>
      <c r="D668" t="s">
        <v>16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</row>
    <row r="669" spans="1:15" x14ac:dyDescent="0.2">
      <c r="A669" t="s">
        <v>1225</v>
      </c>
      <c r="B669" t="s">
        <v>1226</v>
      </c>
      <c r="C669">
        <v>120</v>
      </c>
      <c r="D669" t="s">
        <v>23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1.3</v>
      </c>
      <c r="L669">
        <v>1</v>
      </c>
      <c r="M669">
        <v>1</v>
      </c>
      <c r="N669">
        <v>1</v>
      </c>
      <c r="O669">
        <v>1</v>
      </c>
    </row>
    <row r="670" spans="1:15" x14ac:dyDescent="0.2">
      <c r="A670" t="s">
        <v>1227</v>
      </c>
      <c r="B670" t="s">
        <v>1228</v>
      </c>
      <c r="C670">
        <v>1</v>
      </c>
      <c r="D670" t="s">
        <v>16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</row>
    <row r="671" spans="1:15" x14ac:dyDescent="0.2">
      <c r="A671" t="s">
        <v>1229</v>
      </c>
      <c r="B671" t="s">
        <v>1230</v>
      </c>
      <c r="C671">
        <v>1</v>
      </c>
      <c r="D671" t="s">
        <v>178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1.2</v>
      </c>
    </row>
    <row r="672" spans="1:15" x14ac:dyDescent="0.2">
      <c r="A672" t="s">
        <v>1231</v>
      </c>
      <c r="B672" t="s">
        <v>1232</v>
      </c>
      <c r="C672">
        <v>52</v>
      </c>
      <c r="D672" t="s">
        <v>26</v>
      </c>
      <c r="E672">
        <v>1</v>
      </c>
      <c r="F672">
        <v>1.4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</row>
    <row r="673" spans="1:15" x14ac:dyDescent="0.2">
      <c r="A673" t="s">
        <v>1233</v>
      </c>
      <c r="B673" t="s">
        <v>1234</v>
      </c>
      <c r="C673">
        <v>3</v>
      </c>
      <c r="D673" t="s">
        <v>26</v>
      </c>
      <c r="E673">
        <v>1</v>
      </c>
      <c r="F673">
        <v>1.4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</row>
    <row r="674" spans="1:15" x14ac:dyDescent="0.2">
      <c r="A674" t="s">
        <v>1235</v>
      </c>
      <c r="B674" t="s">
        <v>1236</v>
      </c>
      <c r="C674">
        <v>250</v>
      </c>
      <c r="D674" t="s">
        <v>16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</row>
    <row r="675" spans="1:15" x14ac:dyDescent="0.2">
      <c r="A675" t="s">
        <v>1237</v>
      </c>
      <c r="B675" t="s">
        <v>1238</v>
      </c>
      <c r="C675">
        <v>200</v>
      </c>
      <c r="D675" t="s">
        <v>16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</row>
    <row r="676" spans="1:15" x14ac:dyDescent="0.2">
      <c r="A676" t="s">
        <v>1239</v>
      </c>
      <c r="B676" t="s">
        <v>1240</v>
      </c>
      <c r="C676">
        <v>300</v>
      </c>
      <c r="D676" t="s">
        <v>16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</row>
    <row r="677" spans="1:15" x14ac:dyDescent="0.2">
      <c r="A677" t="s">
        <v>1241</v>
      </c>
      <c r="B677" t="s">
        <v>1242</v>
      </c>
      <c r="C677">
        <v>10</v>
      </c>
      <c r="D677" t="s">
        <v>16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</row>
    <row r="678" spans="1:15" x14ac:dyDescent="0.2">
      <c r="A678" t="s">
        <v>1243</v>
      </c>
      <c r="B678" t="s">
        <v>1244</v>
      </c>
      <c r="C678">
        <v>5</v>
      </c>
      <c r="D678" t="s">
        <v>16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</row>
    <row r="679" spans="1:15" x14ac:dyDescent="0.2">
      <c r="A679" t="s">
        <v>1245</v>
      </c>
      <c r="B679" t="s">
        <v>1246</v>
      </c>
      <c r="C679">
        <v>450</v>
      </c>
      <c r="D679" t="s">
        <v>16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</row>
    <row r="680" spans="1:15" x14ac:dyDescent="0.2">
      <c r="A680" t="s">
        <v>1247</v>
      </c>
      <c r="B680" t="s">
        <v>1248</v>
      </c>
      <c r="C680">
        <v>25</v>
      </c>
      <c r="D680" t="s">
        <v>23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1.3</v>
      </c>
      <c r="L680">
        <v>1</v>
      </c>
      <c r="M680">
        <v>1</v>
      </c>
      <c r="N680">
        <v>1</v>
      </c>
      <c r="O680">
        <v>1</v>
      </c>
    </row>
    <row r="681" spans="1:15" x14ac:dyDescent="0.2">
      <c r="A681" t="s">
        <v>1918</v>
      </c>
      <c r="B681" t="s">
        <v>1919</v>
      </c>
      <c r="C681">
        <v>10000</v>
      </c>
      <c r="D681" t="s">
        <v>16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</row>
    <row r="682" spans="1:15" x14ac:dyDescent="0.2">
      <c r="A682" t="s">
        <v>1249</v>
      </c>
      <c r="B682" t="s">
        <v>1250</v>
      </c>
      <c r="C682">
        <v>565</v>
      </c>
      <c r="D682" t="s">
        <v>544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1.2</v>
      </c>
      <c r="M682">
        <v>1</v>
      </c>
      <c r="N682">
        <v>1</v>
      </c>
      <c r="O682">
        <v>1</v>
      </c>
    </row>
    <row r="683" spans="1:15" x14ac:dyDescent="0.2">
      <c r="A683" t="s">
        <v>1251</v>
      </c>
      <c r="B683" t="s">
        <v>1252</v>
      </c>
      <c r="C683">
        <v>3000</v>
      </c>
      <c r="D683" t="s">
        <v>16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</row>
    <row r="684" spans="1:15" x14ac:dyDescent="0.2">
      <c r="A684" t="s">
        <v>1253</v>
      </c>
      <c r="B684" t="s">
        <v>1254</v>
      </c>
      <c r="C684">
        <v>1000</v>
      </c>
      <c r="D684" t="s">
        <v>147</v>
      </c>
      <c r="E684">
        <v>1.5</v>
      </c>
      <c r="F684">
        <v>1</v>
      </c>
      <c r="G684">
        <v>1</v>
      </c>
      <c r="H684">
        <v>1</v>
      </c>
      <c r="I684">
        <v>1.25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</row>
    <row r="685" spans="1:15" x14ac:dyDescent="0.2">
      <c r="A685" t="s">
        <v>1255</v>
      </c>
      <c r="B685" t="s">
        <v>1256</v>
      </c>
      <c r="C685">
        <v>300</v>
      </c>
      <c r="D685" t="s">
        <v>16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</row>
    <row r="686" spans="1:15" x14ac:dyDescent="0.2">
      <c r="A686" t="s">
        <v>1257</v>
      </c>
      <c r="B686" t="s">
        <v>1258</v>
      </c>
      <c r="C686">
        <v>90</v>
      </c>
      <c r="D686" t="s">
        <v>155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1.2</v>
      </c>
    </row>
    <row r="687" spans="1:15" x14ac:dyDescent="0.2">
      <c r="A687" t="s">
        <v>1259</v>
      </c>
      <c r="B687" t="s">
        <v>1260</v>
      </c>
      <c r="C687">
        <v>230</v>
      </c>
      <c r="D687" t="s">
        <v>26</v>
      </c>
      <c r="E687">
        <v>1</v>
      </c>
      <c r="F687">
        <v>1.4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</row>
    <row r="688" spans="1:15" x14ac:dyDescent="0.2">
      <c r="A688" t="s">
        <v>1261</v>
      </c>
      <c r="B688" t="s">
        <v>1262</v>
      </c>
      <c r="C688">
        <v>300</v>
      </c>
      <c r="D688" t="s">
        <v>152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</row>
    <row r="689" spans="1:15" x14ac:dyDescent="0.2">
      <c r="A689" t="s">
        <v>1263</v>
      </c>
      <c r="B689" t="s">
        <v>1264</v>
      </c>
      <c r="C689">
        <v>20</v>
      </c>
      <c r="D689" t="s">
        <v>16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</row>
    <row r="690" spans="1:15" x14ac:dyDescent="0.2">
      <c r="A690" t="s">
        <v>1265</v>
      </c>
      <c r="B690" t="s">
        <v>1266</v>
      </c>
      <c r="C690">
        <v>20</v>
      </c>
      <c r="D690" t="s">
        <v>16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</row>
    <row r="691" spans="1:15" x14ac:dyDescent="0.2">
      <c r="A691" t="s">
        <v>1267</v>
      </c>
      <c r="B691" t="s">
        <v>1268</v>
      </c>
      <c r="C691">
        <v>300</v>
      </c>
      <c r="D691" t="s">
        <v>16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</row>
    <row r="692" spans="1:15" x14ac:dyDescent="0.2">
      <c r="A692" t="s">
        <v>1269</v>
      </c>
      <c r="B692" t="s">
        <v>1270</v>
      </c>
      <c r="C692">
        <v>65</v>
      </c>
      <c r="D692" t="s">
        <v>147</v>
      </c>
      <c r="E692">
        <v>1.5</v>
      </c>
      <c r="F692">
        <v>1</v>
      </c>
      <c r="G692">
        <v>1</v>
      </c>
      <c r="H692">
        <v>1</v>
      </c>
      <c r="I692">
        <v>1.25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</row>
    <row r="693" spans="1:15" x14ac:dyDescent="0.2">
      <c r="A693" t="s">
        <v>1271</v>
      </c>
      <c r="B693" t="s">
        <v>1272</v>
      </c>
      <c r="C693">
        <v>97</v>
      </c>
      <c r="D693" t="s">
        <v>16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</row>
    <row r="694" spans="1:15" x14ac:dyDescent="0.2">
      <c r="A694" t="s">
        <v>1920</v>
      </c>
      <c r="B694" t="s">
        <v>1921</v>
      </c>
      <c r="C694">
        <v>600</v>
      </c>
      <c r="D694" t="s">
        <v>26</v>
      </c>
      <c r="E694">
        <v>1</v>
      </c>
      <c r="F694">
        <v>1.4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</row>
    <row r="695" spans="1:15" x14ac:dyDescent="0.2">
      <c r="A695" t="s">
        <v>1273</v>
      </c>
      <c r="B695" t="s">
        <v>1274</v>
      </c>
      <c r="C695">
        <v>300</v>
      </c>
      <c r="D695" t="s">
        <v>16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</row>
    <row r="696" spans="1:15" x14ac:dyDescent="0.2">
      <c r="A696" t="s">
        <v>1275</v>
      </c>
      <c r="B696" t="s">
        <v>1276</v>
      </c>
      <c r="C696">
        <v>200</v>
      </c>
      <c r="D696" t="s">
        <v>16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</row>
    <row r="697" spans="1:15" x14ac:dyDescent="0.2">
      <c r="A697" t="s">
        <v>1277</v>
      </c>
      <c r="B697" t="s">
        <v>1278</v>
      </c>
      <c r="C697">
        <v>260</v>
      </c>
      <c r="D697" t="s">
        <v>155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1.2</v>
      </c>
    </row>
    <row r="698" spans="1:15" x14ac:dyDescent="0.2">
      <c r="A698" t="s">
        <v>1279</v>
      </c>
      <c r="B698" t="s">
        <v>1280</v>
      </c>
      <c r="C698">
        <v>570</v>
      </c>
      <c r="D698" t="s">
        <v>26</v>
      </c>
      <c r="E698">
        <v>1</v>
      </c>
      <c r="F698">
        <v>1.4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</row>
    <row r="699" spans="1:15" x14ac:dyDescent="0.2">
      <c r="A699" t="s">
        <v>1281</v>
      </c>
      <c r="B699" t="s">
        <v>1282</v>
      </c>
      <c r="C699">
        <v>50</v>
      </c>
      <c r="D699" t="s">
        <v>16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</row>
    <row r="700" spans="1:15" x14ac:dyDescent="0.2">
      <c r="A700" t="s">
        <v>1283</v>
      </c>
      <c r="B700" t="s">
        <v>1284</v>
      </c>
      <c r="C700">
        <v>75</v>
      </c>
      <c r="D700" t="s">
        <v>147</v>
      </c>
      <c r="E700">
        <v>1.5</v>
      </c>
      <c r="F700">
        <v>1</v>
      </c>
      <c r="G700">
        <v>1</v>
      </c>
      <c r="H700">
        <v>1</v>
      </c>
      <c r="I700">
        <v>1.25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</row>
    <row r="701" spans="1:15" x14ac:dyDescent="0.2">
      <c r="A701" t="s">
        <v>1285</v>
      </c>
      <c r="B701" t="s">
        <v>1286</v>
      </c>
      <c r="C701">
        <v>112</v>
      </c>
      <c r="D701" t="s">
        <v>16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</row>
    <row r="702" spans="1:15" x14ac:dyDescent="0.2">
      <c r="A702" t="s">
        <v>1287</v>
      </c>
      <c r="B702" t="s">
        <v>1288</v>
      </c>
      <c r="C702">
        <v>75</v>
      </c>
      <c r="D702" t="s">
        <v>291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</row>
    <row r="703" spans="1:15" x14ac:dyDescent="0.2">
      <c r="A703" t="s">
        <v>1289</v>
      </c>
      <c r="B703" t="s">
        <v>1290</v>
      </c>
      <c r="C703">
        <v>400</v>
      </c>
      <c r="D703" t="s">
        <v>152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</row>
    <row r="704" spans="1:15" x14ac:dyDescent="0.2">
      <c r="A704" t="s">
        <v>1291</v>
      </c>
      <c r="B704" t="s">
        <v>1292</v>
      </c>
      <c r="C704">
        <v>2500</v>
      </c>
      <c r="D704" t="s">
        <v>16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</row>
    <row r="705" spans="1:15" x14ac:dyDescent="0.2">
      <c r="A705" t="s">
        <v>1293</v>
      </c>
      <c r="B705" t="s">
        <v>1294</v>
      </c>
      <c r="C705">
        <v>50</v>
      </c>
      <c r="D705" t="s">
        <v>147</v>
      </c>
      <c r="E705">
        <v>1.5</v>
      </c>
      <c r="F705">
        <v>1</v>
      </c>
      <c r="G705">
        <v>1</v>
      </c>
      <c r="H705">
        <v>1</v>
      </c>
      <c r="I705">
        <v>1.25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</row>
    <row r="706" spans="1:15" x14ac:dyDescent="0.2">
      <c r="A706" t="s">
        <v>1295</v>
      </c>
      <c r="B706" t="s">
        <v>1296</v>
      </c>
      <c r="C706">
        <v>75</v>
      </c>
      <c r="D706" t="s">
        <v>16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</row>
    <row r="707" spans="1:15" x14ac:dyDescent="0.2">
      <c r="A707" t="s">
        <v>1297</v>
      </c>
      <c r="B707" t="s">
        <v>1298</v>
      </c>
      <c r="C707">
        <v>50</v>
      </c>
      <c r="D707" t="s">
        <v>16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</row>
    <row r="708" spans="1:15" x14ac:dyDescent="0.2">
      <c r="A708" t="s">
        <v>1299</v>
      </c>
      <c r="B708" t="s">
        <v>1300</v>
      </c>
      <c r="C708">
        <v>220</v>
      </c>
      <c r="D708" t="s">
        <v>178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1.2</v>
      </c>
    </row>
    <row r="709" spans="1:15" x14ac:dyDescent="0.2">
      <c r="A709" t="s">
        <v>1301</v>
      </c>
      <c r="B709" t="s">
        <v>1302</v>
      </c>
      <c r="C709">
        <v>490</v>
      </c>
      <c r="D709" t="s">
        <v>26</v>
      </c>
      <c r="E709">
        <v>1</v>
      </c>
      <c r="F709">
        <v>1.4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</row>
    <row r="710" spans="1:15" x14ac:dyDescent="0.2">
      <c r="A710" t="s">
        <v>1303</v>
      </c>
      <c r="B710" t="s">
        <v>1304</v>
      </c>
      <c r="C710">
        <v>400</v>
      </c>
      <c r="D710" t="s">
        <v>152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</row>
    <row r="711" spans="1:15" x14ac:dyDescent="0.2">
      <c r="A711" t="s">
        <v>1305</v>
      </c>
      <c r="B711" t="s">
        <v>1306</v>
      </c>
      <c r="C711">
        <v>50</v>
      </c>
      <c r="D711" t="s">
        <v>16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</row>
    <row r="712" spans="1:15" x14ac:dyDescent="0.2">
      <c r="A712" t="s">
        <v>1307</v>
      </c>
      <c r="B712" t="s">
        <v>1308</v>
      </c>
      <c r="C712">
        <v>660</v>
      </c>
      <c r="D712" t="s">
        <v>26</v>
      </c>
      <c r="E712">
        <v>1</v>
      </c>
      <c r="F712">
        <v>1.4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</row>
    <row r="713" spans="1:15" x14ac:dyDescent="0.2">
      <c r="A713" t="s">
        <v>1309</v>
      </c>
      <c r="B713" t="s">
        <v>1310</v>
      </c>
      <c r="C713">
        <v>100</v>
      </c>
      <c r="D713" t="s">
        <v>16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</row>
    <row r="714" spans="1:15" x14ac:dyDescent="0.2">
      <c r="A714" t="s">
        <v>1311</v>
      </c>
      <c r="B714" t="s">
        <v>1312</v>
      </c>
      <c r="C714">
        <v>260</v>
      </c>
      <c r="D714" t="s">
        <v>152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</row>
    <row r="715" spans="1:15" x14ac:dyDescent="0.2">
      <c r="A715" t="s">
        <v>1313</v>
      </c>
      <c r="B715" t="s">
        <v>1314</v>
      </c>
      <c r="C715">
        <v>20</v>
      </c>
      <c r="D715" t="s">
        <v>16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</row>
    <row r="716" spans="1:15" x14ac:dyDescent="0.2">
      <c r="A716" t="s">
        <v>1315</v>
      </c>
      <c r="B716" t="s">
        <v>1316</v>
      </c>
      <c r="C716">
        <v>1500</v>
      </c>
      <c r="D716" t="s">
        <v>16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</row>
    <row r="717" spans="1:15" x14ac:dyDescent="0.2">
      <c r="A717" t="s">
        <v>1922</v>
      </c>
      <c r="B717" t="s">
        <v>1923</v>
      </c>
      <c r="C717">
        <v>125</v>
      </c>
      <c r="D717" t="s">
        <v>16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</row>
    <row r="718" spans="1:15" x14ac:dyDescent="0.2">
      <c r="A718" t="s">
        <v>1317</v>
      </c>
      <c r="B718" t="s">
        <v>1318</v>
      </c>
      <c r="C718">
        <v>270</v>
      </c>
      <c r="D718" t="s">
        <v>152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</row>
    <row r="719" spans="1:15" x14ac:dyDescent="0.2">
      <c r="A719" t="s">
        <v>1319</v>
      </c>
      <c r="B719" t="s">
        <v>1320</v>
      </c>
      <c r="C719">
        <v>30</v>
      </c>
      <c r="D719" t="s">
        <v>16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</row>
    <row r="720" spans="1:15" x14ac:dyDescent="0.2">
      <c r="A720" t="s">
        <v>1321</v>
      </c>
      <c r="B720" t="s">
        <v>1322</v>
      </c>
      <c r="C720">
        <v>100</v>
      </c>
      <c r="D720" t="s">
        <v>152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</row>
    <row r="721" spans="1:15" x14ac:dyDescent="0.2">
      <c r="A721" t="s">
        <v>1323</v>
      </c>
      <c r="B721" t="s">
        <v>1324</v>
      </c>
      <c r="C721">
        <v>0</v>
      </c>
      <c r="D721" t="s">
        <v>16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</row>
    <row r="722" spans="1:15" x14ac:dyDescent="0.2">
      <c r="A722" t="s">
        <v>1325</v>
      </c>
      <c r="B722" t="s">
        <v>1326</v>
      </c>
      <c r="C722">
        <v>250</v>
      </c>
      <c r="D722" t="s">
        <v>23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1.3</v>
      </c>
      <c r="L722">
        <v>1</v>
      </c>
      <c r="M722">
        <v>1</v>
      </c>
      <c r="N722">
        <v>1</v>
      </c>
      <c r="O722">
        <v>1</v>
      </c>
    </row>
    <row r="723" spans="1:15" x14ac:dyDescent="0.2">
      <c r="A723" t="s">
        <v>1327</v>
      </c>
      <c r="B723" t="s">
        <v>1328</v>
      </c>
      <c r="C723">
        <v>600</v>
      </c>
      <c r="D723" t="s">
        <v>16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</row>
    <row r="724" spans="1:15" x14ac:dyDescent="0.2">
      <c r="A724" t="s">
        <v>1329</v>
      </c>
      <c r="B724" t="s">
        <v>1330</v>
      </c>
      <c r="C724">
        <v>1</v>
      </c>
      <c r="D724" t="s">
        <v>16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</row>
    <row r="725" spans="1:15" x14ac:dyDescent="0.2">
      <c r="A725" t="s">
        <v>1331</v>
      </c>
      <c r="B725" t="s">
        <v>1332</v>
      </c>
      <c r="C725">
        <v>25</v>
      </c>
      <c r="D725" t="s">
        <v>16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</row>
    <row r="726" spans="1:15" x14ac:dyDescent="0.2">
      <c r="A726" t="s">
        <v>1333</v>
      </c>
      <c r="B726" t="s">
        <v>1334</v>
      </c>
      <c r="C726">
        <v>25</v>
      </c>
      <c r="D726" t="s">
        <v>16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</row>
    <row r="727" spans="1:15" x14ac:dyDescent="0.2">
      <c r="A727" t="s">
        <v>1335</v>
      </c>
      <c r="B727" t="s">
        <v>1336</v>
      </c>
      <c r="C727">
        <v>25</v>
      </c>
      <c r="D727" t="s">
        <v>16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</row>
    <row r="728" spans="1:15" x14ac:dyDescent="0.2">
      <c r="A728" t="s">
        <v>1337</v>
      </c>
      <c r="B728" t="s">
        <v>1338</v>
      </c>
      <c r="C728">
        <v>110</v>
      </c>
      <c r="D728" t="s">
        <v>152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</row>
    <row r="729" spans="1:15" x14ac:dyDescent="0.2">
      <c r="A729" t="s">
        <v>1339</v>
      </c>
      <c r="B729" t="s">
        <v>1340</v>
      </c>
      <c r="C729">
        <v>75</v>
      </c>
      <c r="D729" t="s">
        <v>147</v>
      </c>
      <c r="E729">
        <v>1.5</v>
      </c>
      <c r="F729">
        <v>1</v>
      </c>
      <c r="G729">
        <v>1</v>
      </c>
      <c r="H729">
        <v>1</v>
      </c>
      <c r="I729">
        <v>1.25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</row>
    <row r="730" spans="1:15" x14ac:dyDescent="0.2">
      <c r="A730" t="s">
        <v>1341</v>
      </c>
      <c r="B730" t="s">
        <v>1342</v>
      </c>
      <c r="C730">
        <v>300</v>
      </c>
      <c r="D730" t="s">
        <v>152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</row>
    <row r="731" spans="1:15" x14ac:dyDescent="0.2">
      <c r="A731" t="s">
        <v>1343</v>
      </c>
      <c r="B731" t="s">
        <v>1344</v>
      </c>
      <c r="C731">
        <v>112</v>
      </c>
      <c r="D731" t="s">
        <v>16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</row>
    <row r="732" spans="1:15" x14ac:dyDescent="0.2">
      <c r="A732" t="s">
        <v>1345</v>
      </c>
      <c r="B732" t="s">
        <v>1346</v>
      </c>
      <c r="C732">
        <v>5</v>
      </c>
      <c r="D732" t="s">
        <v>178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1.2</v>
      </c>
    </row>
    <row r="733" spans="1:15" x14ac:dyDescent="0.2">
      <c r="A733" t="s">
        <v>1347</v>
      </c>
      <c r="B733" t="s">
        <v>1348</v>
      </c>
      <c r="C733">
        <v>60</v>
      </c>
      <c r="D733" t="s">
        <v>26</v>
      </c>
      <c r="E733">
        <v>1</v>
      </c>
      <c r="F733">
        <v>1.4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</row>
    <row r="734" spans="1:15" x14ac:dyDescent="0.2">
      <c r="A734" t="s">
        <v>1349</v>
      </c>
      <c r="B734" t="s">
        <v>1350</v>
      </c>
      <c r="C734">
        <v>15</v>
      </c>
      <c r="D734" t="s">
        <v>26</v>
      </c>
      <c r="E734">
        <v>1</v>
      </c>
      <c r="F734">
        <v>1.4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</row>
    <row r="735" spans="1:15" x14ac:dyDescent="0.2">
      <c r="A735" t="s">
        <v>1351</v>
      </c>
      <c r="B735" t="s">
        <v>1352</v>
      </c>
      <c r="C735">
        <v>75</v>
      </c>
      <c r="D735" t="s">
        <v>147</v>
      </c>
      <c r="E735">
        <v>1.5</v>
      </c>
      <c r="F735">
        <v>1</v>
      </c>
      <c r="G735">
        <v>1</v>
      </c>
      <c r="H735">
        <v>1</v>
      </c>
      <c r="I735">
        <v>1.25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</row>
    <row r="736" spans="1:15" x14ac:dyDescent="0.2">
      <c r="A736" t="s">
        <v>1353</v>
      </c>
      <c r="B736" t="s">
        <v>1354</v>
      </c>
      <c r="C736">
        <v>112</v>
      </c>
      <c r="D736" t="s">
        <v>16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</row>
    <row r="737" spans="1:15" x14ac:dyDescent="0.2">
      <c r="A737" t="s">
        <v>1355</v>
      </c>
      <c r="B737" t="s">
        <v>1356</v>
      </c>
      <c r="C737">
        <v>60</v>
      </c>
      <c r="D737" t="s">
        <v>23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1.3</v>
      </c>
      <c r="L737">
        <v>1</v>
      </c>
      <c r="M737">
        <v>1</v>
      </c>
      <c r="N737">
        <v>1</v>
      </c>
      <c r="O737">
        <v>1</v>
      </c>
    </row>
    <row r="738" spans="1:15" x14ac:dyDescent="0.2">
      <c r="A738" t="s">
        <v>1357</v>
      </c>
      <c r="B738" t="s">
        <v>1358</v>
      </c>
      <c r="C738">
        <v>2</v>
      </c>
      <c r="D738" t="s">
        <v>291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</row>
    <row r="739" spans="1:15" x14ac:dyDescent="0.2">
      <c r="A739" t="s">
        <v>1359</v>
      </c>
      <c r="B739" t="s">
        <v>1360</v>
      </c>
      <c r="C739">
        <v>40</v>
      </c>
      <c r="D739" t="s">
        <v>147</v>
      </c>
      <c r="E739">
        <v>1.5</v>
      </c>
      <c r="F739">
        <v>1</v>
      </c>
      <c r="G739">
        <v>1</v>
      </c>
      <c r="H739">
        <v>1</v>
      </c>
      <c r="I739">
        <v>1.25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</row>
    <row r="740" spans="1:15" x14ac:dyDescent="0.2">
      <c r="A740" t="s">
        <v>1361</v>
      </c>
      <c r="B740" t="s">
        <v>1362</v>
      </c>
      <c r="C740">
        <v>60</v>
      </c>
      <c r="D740" t="s">
        <v>16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</row>
    <row r="741" spans="1:15" x14ac:dyDescent="0.2">
      <c r="A741" t="s">
        <v>1363</v>
      </c>
      <c r="B741" t="s">
        <v>1364</v>
      </c>
      <c r="C741">
        <v>75</v>
      </c>
      <c r="D741" t="s">
        <v>152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</row>
    <row r="742" spans="1:15" x14ac:dyDescent="0.2">
      <c r="A742" t="s">
        <v>1365</v>
      </c>
      <c r="B742" t="s">
        <v>1366</v>
      </c>
      <c r="C742">
        <v>1500</v>
      </c>
      <c r="D742" t="s">
        <v>16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</row>
    <row r="743" spans="1:15" x14ac:dyDescent="0.2">
      <c r="A743" t="s">
        <v>1367</v>
      </c>
      <c r="B743" t="s">
        <v>1368</v>
      </c>
      <c r="C743">
        <v>150</v>
      </c>
      <c r="D743" t="s">
        <v>147</v>
      </c>
      <c r="E743">
        <v>1.5</v>
      </c>
      <c r="F743">
        <v>1</v>
      </c>
      <c r="G743">
        <v>1</v>
      </c>
      <c r="H743">
        <v>1</v>
      </c>
      <c r="I743">
        <v>1.25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</row>
    <row r="744" spans="1:15" x14ac:dyDescent="0.2">
      <c r="A744" t="s">
        <v>1369</v>
      </c>
      <c r="B744" t="s">
        <v>1370</v>
      </c>
      <c r="C744">
        <v>225</v>
      </c>
      <c r="D744" t="s">
        <v>16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</row>
    <row r="745" spans="1:15" x14ac:dyDescent="0.2">
      <c r="A745" t="s">
        <v>1371</v>
      </c>
      <c r="B745" t="s">
        <v>1372</v>
      </c>
      <c r="C745">
        <v>75</v>
      </c>
      <c r="D745" t="s">
        <v>147</v>
      </c>
      <c r="E745">
        <v>1.5</v>
      </c>
      <c r="F745">
        <v>1</v>
      </c>
      <c r="G745">
        <v>1</v>
      </c>
      <c r="H745">
        <v>1</v>
      </c>
      <c r="I745">
        <v>1.25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</row>
    <row r="746" spans="1:15" x14ac:dyDescent="0.2">
      <c r="A746" t="s">
        <v>1373</v>
      </c>
      <c r="B746" t="s">
        <v>1374</v>
      </c>
      <c r="C746">
        <v>112</v>
      </c>
      <c r="D746" t="s">
        <v>16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</row>
    <row r="747" spans="1:15" x14ac:dyDescent="0.2">
      <c r="A747" t="s">
        <v>1924</v>
      </c>
      <c r="B747" t="s">
        <v>1925</v>
      </c>
      <c r="C747">
        <v>200</v>
      </c>
      <c r="D747" t="s">
        <v>16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</row>
    <row r="748" spans="1:15" x14ac:dyDescent="0.2">
      <c r="A748" t="s">
        <v>1375</v>
      </c>
      <c r="B748" t="s">
        <v>1376</v>
      </c>
      <c r="C748">
        <v>160</v>
      </c>
      <c r="D748" t="s">
        <v>16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</row>
    <row r="749" spans="1:15" x14ac:dyDescent="0.2">
      <c r="A749" t="s">
        <v>1377</v>
      </c>
      <c r="B749" t="s">
        <v>1378</v>
      </c>
      <c r="C749">
        <v>300</v>
      </c>
      <c r="D749" t="s">
        <v>152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</row>
    <row r="750" spans="1:15" x14ac:dyDescent="0.2">
      <c r="A750" t="s">
        <v>1379</v>
      </c>
      <c r="B750" t="s">
        <v>1380</v>
      </c>
      <c r="C750">
        <v>20</v>
      </c>
      <c r="D750" t="s">
        <v>16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</row>
    <row r="751" spans="1:15" x14ac:dyDescent="0.2">
      <c r="A751" t="s">
        <v>1381</v>
      </c>
      <c r="B751" t="s">
        <v>1382</v>
      </c>
      <c r="C751">
        <v>1</v>
      </c>
      <c r="D751" t="s">
        <v>16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</row>
    <row r="752" spans="1:15" x14ac:dyDescent="0.2">
      <c r="A752" t="s">
        <v>1926</v>
      </c>
      <c r="B752" t="s">
        <v>1927</v>
      </c>
      <c r="C752">
        <v>0</v>
      </c>
      <c r="D752" t="s">
        <v>16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</row>
    <row r="753" spans="1:15" x14ac:dyDescent="0.2">
      <c r="A753" t="s">
        <v>1383</v>
      </c>
      <c r="B753" t="s">
        <v>1384</v>
      </c>
      <c r="C753">
        <v>60</v>
      </c>
      <c r="D753" t="s">
        <v>147</v>
      </c>
      <c r="E753">
        <v>1.5</v>
      </c>
      <c r="F753">
        <v>1</v>
      </c>
      <c r="G753">
        <v>1</v>
      </c>
      <c r="H753">
        <v>1</v>
      </c>
      <c r="I753">
        <v>1.25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</row>
    <row r="754" spans="1:15" x14ac:dyDescent="0.2">
      <c r="A754" t="s">
        <v>1385</v>
      </c>
      <c r="B754" t="s">
        <v>1386</v>
      </c>
      <c r="C754">
        <v>90</v>
      </c>
      <c r="D754" t="s">
        <v>16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</row>
    <row r="755" spans="1:15" x14ac:dyDescent="0.2">
      <c r="A755" t="s">
        <v>1387</v>
      </c>
      <c r="B755" t="s">
        <v>1388</v>
      </c>
      <c r="C755">
        <v>60</v>
      </c>
      <c r="D755" t="s">
        <v>147</v>
      </c>
      <c r="E755">
        <v>1.5</v>
      </c>
      <c r="F755">
        <v>1</v>
      </c>
      <c r="G755">
        <v>1</v>
      </c>
      <c r="H755">
        <v>1</v>
      </c>
      <c r="I755">
        <v>1.25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</row>
    <row r="756" spans="1:15" x14ac:dyDescent="0.2">
      <c r="A756" t="s">
        <v>1389</v>
      </c>
      <c r="B756" t="s">
        <v>1390</v>
      </c>
      <c r="C756">
        <v>160</v>
      </c>
      <c r="D756" t="s">
        <v>152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</row>
    <row r="757" spans="1:15" x14ac:dyDescent="0.2">
      <c r="A757" t="s">
        <v>1391</v>
      </c>
      <c r="B757" t="s">
        <v>1392</v>
      </c>
      <c r="C757">
        <v>90</v>
      </c>
      <c r="D757" t="s">
        <v>16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</row>
    <row r="758" spans="1:15" x14ac:dyDescent="0.2">
      <c r="A758" t="s">
        <v>1393</v>
      </c>
      <c r="B758" t="s">
        <v>1394</v>
      </c>
      <c r="C758">
        <v>100</v>
      </c>
      <c r="D758" t="s">
        <v>16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</row>
    <row r="759" spans="1:15" x14ac:dyDescent="0.2">
      <c r="A759" t="s">
        <v>1395</v>
      </c>
      <c r="B759" t="s">
        <v>1396</v>
      </c>
      <c r="C759">
        <v>100</v>
      </c>
      <c r="D759" t="s">
        <v>16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</row>
    <row r="760" spans="1:15" x14ac:dyDescent="0.2">
      <c r="A760" t="s">
        <v>1397</v>
      </c>
      <c r="B760" t="s">
        <v>1398</v>
      </c>
      <c r="C760">
        <v>85</v>
      </c>
      <c r="D760" t="s">
        <v>23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1.3</v>
      </c>
      <c r="L760">
        <v>1</v>
      </c>
      <c r="M760">
        <v>1</v>
      </c>
      <c r="N760">
        <v>1</v>
      </c>
      <c r="O760">
        <v>1</v>
      </c>
    </row>
    <row r="761" spans="1:15" x14ac:dyDescent="0.2">
      <c r="A761" t="s">
        <v>1399</v>
      </c>
      <c r="B761" t="s">
        <v>1400</v>
      </c>
      <c r="C761">
        <v>5</v>
      </c>
      <c r="D761" t="s">
        <v>16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</row>
    <row r="762" spans="1:15" x14ac:dyDescent="0.2">
      <c r="A762" t="s">
        <v>1401</v>
      </c>
      <c r="B762" t="s">
        <v>1402</v>
      </c>
      <c r="C762">
        <v>700</v>
      </c>
      <c r="D762" t="s">
        <v>16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</row>
    <row r="763" spans="1:15" x14ac:dyDescent="0.2">
      <c r="A763" t="s">
        <v>1403</v>
      </c>
      <c r="B763" t="s">
        <v>1404</v>
      </c>
      <c r="C763">
        <v>3000</v>
      </c>
      <c r="D763" t="s">
        <v>16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</row>
    <row r="764" spans="1:15" x14ac:dyDescent="0.2">
      <c r="A764" t="s">
        <v>1405</v>
      </c>
      <c r="B764" t="s">
        <v>1406</v>
      </c>
      <c r="C764">
        <v>100</v>
      </c>
      <c r="D764" t="s">
        <v>147</v>
      </c>
      <c r="E764">
        <v>1.5</v>
      </c>
      <c r="F764">
        <v>1</v>
      </c>
      <c r="G764">
        <v>1</v>
      </c>
      <c r="H764">
        <v>1</v>
      </c>
      <c r="I764">
        <v>1.25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</row>
    <row r="765" spans="1:15" x14ac:dyDescent="0.2">
      <c r="A765" t="s">
        <v>1407</v>
      </c>
      <c r="B765" t="s">
        <v>1408</v>
      </c>
      <c r="C765">
        <v>150</v>
      </c>
      <c r="D765" t="s">
        <v>16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</row>
    <row r="766" spans="1:15" x14ac:dyDescent="0.2">
      <c r="A766" t="s">
        <v>1409</v>
      </c>
      <c r="B766" t="s">
        <v>1410</v>
      </c>
      <c r="C766">
        <v>100</v>
      </c>
      <c r="D766" t="s">
        <v>16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</row>
    <row r="767" spans="1:15" x14ac:dyDescent="0.2">
      <c r="A767" t="s">
        <v>1411</v>
      </c>
      <c r="B767" t="s">
        <v>1412</v>
      </c>
      <c r="C767">
        <v>100</v>
      </c>
      <c r="D767" t="s">
        <v>16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</row>
    <row r="768" spans="1:15" x14ac:dyDescent="0.2">
      <c r="A768" t="s">
        <v>1413</v>
      </c>
      <c r="B768" t="s">
        <v>1414</v>
      </c>
      <c r="C768">
        <v>50</v>
      </c>
      <c r="D768" t="s">
        <v>147</v>
      </c>
      <c r="E768">
        <v>1.5</v>
      </c>
      <c r="F768">
        <v>1</v>
      </c>
      <c r="G768">
        <v>1</v>
      </c>
      <c r="H768">
        <v>1</v>
      </c>
      <c r="I768">
        <v>1.25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</row>
    <row r="769" spans="1:15" x14ac:dyDescent="0.2">
      <c r="A769" t="s">
        <v>1415</v>
      </c>
      <c r="B769" t="s">
        <v>1416</v>
      </c>
      <c r="C769">
        <v>75</v>
      </c>
      <c r="D769" t="s">
        <v>16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</row>
    <row r="770" spans="1:15" x14ac:dyDescent="0.2">
      <c r="A770" t="s">
        <v>1928</v>
      </c>
      <c r="B770" t="s">
        <v>1929</v>
      </c>
      <c r="C770">
        <v>25</v>
      </c>
      <c r="D770" t="s">
        <v>26</v>
      </c>
      <c r="E770">
        <v>1</v>
      </c>
      <c r="F770">
        <v>1.4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</row>
    <row r="771" spans="1:15" x14ac:dyDescent="0.2">
      <c r="A771" t="s">
        <v>1417</v>
      </c>
      <c r="B771" t="s">
        <v>1418</v>
      </c>
      <c r="C771">
        <v>65</v>
      </c>
      <c r="D771" t="s">
        <v>147</v>
      </c>
      <c r="E771">
        <v>1.5</v>
      </c>
      <c r="F771">
        <v>1</v>
      </c>
      <c r="G771">
        <v>1</v>
      </c>
      <c r="H771">
        <v>1</v>
      </c>
      <c r="I771">
        <v>1.25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</row>
    <row r="772" spans="1:15" x14ac:dyDescent="0.2">
      <c r="A772" t="s">
        <v>1419</v>
      </c>
      <c r="B772" t="s">
        <v>1420</v>
      </c>
      <c r="C772">
        <v>97</v>
      </c>
      <c r="D772" t="s">
        <v>16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</row>
    <row r="773" spans="1:15" x14ac:dyDescent="0.2">
      <c r="A773" t="s">
        <v>1421</v>
      </c>
      <c r="B773" t="s">
        <v>1422</v>
      </c>
      <c r="C773">
        <v>100</v>
      </c>
      <c r="D773" t="s">
        <v>16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</row>
    <row r="774" spans="1:15" x14ac:dyDescent="0.2">
      <c r="A774" t="s">
        <v>1423</v>
      </c>
      <c r="B774" t="s">
        <v>1424</v>
      </c>
      <c r="C774">
        <v>100</v>
      </c>
      <c r="D774" t="s">
        <v>16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</row>
    <row r="775" spans="1:15" x14ac:dyDescent="0.2">
      <c r="A775" t="s">
        <v>1425</v>
      </c>
      <c r="B775" t="s">
        <v>1426</v>
      </c>
      <c r="C775">
        <v>100</v>
      </c>
      <c r="D775" t="s">
        <v>291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</row>
    <row r="776" spans="1:15" x14ac:dyDescent="0.2">
      <c r="A776" t="s">
        <v>1427</v>
      </c>
      <c r="B776" t="s">
        <v>1428</v>
      </c>
      <c r="C776">
        <v>120</v>
      </c>
      <c r="D776" t="s">
        <v>23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1.3</v>
      </c>
      <c r="L776">
        <v>1</v>
      </c>
      <c r="M776">
        <v>1</v>
      </c>
      <c r="N776">
        <v>1</v>
      </c>
      <c r="O776">
        <v>1</v>
      </c>
    </row>
    <row r="777" spans="1:15" x14ac:dyDescent="0.2">
      <c r="A777" t="s">
        <v>1429</v>
      </c>
      <c r="B777" t="s">
        <v>1430</v>
      </c>
      <c r="C777">
        <v>0</v>
      </c>
      <c r="D777" t="s">
        <v>16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</row>
    <row r="778" spans="1:15" x14ac:dyDescent="0.2">
      <c r="A778" t="s">
        <v>1431</v>
      </c>
      <c r="B778" t="s">
        <v>1432</v>
      </c>
      <c r="C778">
        <v>40</v>
      </c>
      <c r="D778" t="s">
        <v>16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</row>
    <row r="779" spans="1:15" x14ac:dyDescent="0.2">
      <c r="A779" t="s">
        <v>1433</v>
      </c>
      <c r="B779" t="s">
        <v>1434</v>
      </c>
      <c r="C779">
        <v>1500</v>
      </c>
      <c r="D779" t="s">
        <v>147</v>
      </c>
      <c r="E779">
        <v>1.5</v>
      </c>
      <c r="F779">
        <v>1</v>
      </c>
      <c r="G779">
        <v>1</v>
      </c>
      <c r="H779">
        <v>1</v>
      </c>
      <c r="I779">
        <v>1.25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</row>
    <row r="780" spans="1:15" x14ac:dyDescent="0.2">
      <c r="A780" t="s">
        <v>1930</v>
      </c>
      <c r="B780" t="s">
        <v>1931</v>
      </c>
      <c r="C780">
        <v>250</v>
      </c>
      <c r="D780" t="s">
        <v>16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</row>
    <row r="781" spans="1:15" x14ac:dyDescent="0.2">
      <c r="A781" t="s">
        <v>1435</v>
      </c>
      <c r="B781" t="s">
        <v>1436</v>
      </c>
      <c r="C781">
        <v>200</v>
      </c>
      <c r="D781" t="s">
        <v>16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</row>
    <row r="782" spans="1:15" x14ac:dyDescent="0.2">
      <c r="A782" t="s">
        <v>1437</v>
      </c>
      <c r="B782" t="s">
        <v>1438</v>
      </c>
      <c r="C782">
        <v>120</v>
      </c>
      <c r="D782" t="s">
        <v>152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</row>
    <row r="783" spans="1:15" x14ac:dyDescent="0.2">
      <c r="A783" t="s">
        <v>1439</v>
      </c>
      <c r="B783" t="s">
        <v>1440</v>
      </c>
      <c r="C783">
        <v>25</v>
      </c>
      <c r="D783" t="s">
        <v>16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</row>
    <row r="784" spans="1:15" x14ac:dyDescent="0.2">
      <c r="A784" t="s">
        <v>1441</v>
      </c>
      <c r="B784" t="s">
        <v>1442</v>
      </c>
      <c r="C784">
        <v>20</v>
      </c>
      <c r="D784" t="s">
        <v>16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</row>
    <row r="785" spans="1:15" x14ac:dyDescent="0.2">
      <c r="A785" t="s">
        <v>1443</v>
      </c>
      <c r="B785" t="s">
        <v>1444</v>
      </c>
      <c r="C785">
        <v>80</v>
      </c>
      <c r="D785" t="s">
        <v>178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1.2</v>
      </c>
    </row>
    <row r="786" spans="1:15" x14ac:dyDescent="0.2">
      <c r="A786" t="s">
        <v>1445</v>
      </c>
      <c r="B786" t="s">
        <v>1446</v>
      </c>
      <c r="C786">
        <v>210</v>
      </c>
      <c r="D786" t="s">
        <v>26</v>
      </c>
      <c r="E786">
        <v>1</v>
      </c>
      <c r="F786">
        <v>1.4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</row>
    <row r="787" spans="1:15" x14ac:dyDescent="0.2">
      <c r="A787" t="s">
        <v>1447</v>
      </c>
      <c r="B787" t="s">
        <v>1448</v>
      </c>
      <c r="C787">
        <v>240</v>
      </c>
      <c r="D787" t="s">
        <v>26</v>
      </c>
      <c r="E787">
        <v>1</v>
      </c>
      <c r="F787">
        <v>1.4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</row>
    <row r="788" spans="1:15" x14ac:dyDescent="0.2">
      <c r="A788" t="s">
        <v>1449</v>
      </c>
      <c r="B788" t="s">
        <v>1450</v>
      </c>
      <c r="C788">
        <v>175</v>
      </c>
      <c r="D788" t="s">
        <v>152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</row>
    <row r="789" spans="1:15" x14ac:dyDescent="0.2">
      <c r="A789" t="s">
        <v>1451</v>
      </c>
      <c r="B789" t="s">
        <v>1452</v>
      </c>
      <c r="C789">
        <v>250</v>
      </c>
      <c r="D789" t="s">
        <v>16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</row>
    <row r="790" spans="1:15" x14ac:dyDescent="0.2">
      <c r="A790" t="s">
        <v>1453</v>
      </c>
      <c r="B790" t="s">
        <v>1454</v>
      </c>
      <c r="C790">
        <v>5</v>
      </c>
      <c r="D790" t="s">
        <v>16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</row>
    <row r="791" spans="1:15" x14ac:dyDescent="0.2">
      <c r="A791" t="s">
        <v>1455</v>
      </c>
      <c r="B791" t="s">
        <v>1456</v>
      </c>
      <c r="C791">
        <v>220</v>
      </c>
      <c r="D791" t="s">
        <v>147</v>
      </c>
      <c r="E791">
        <v>1.5</v>
      </c>
      <c r="F791">
        <v>1</v>
      </c>
      <c r="G791">
        <v>1</v>
      </c>
      <c r="H791">
        <v>1</v>
      </c>
      <c r="I791">
        <v>1.25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</row>
    <row r="792" spans="1:15" x14ac:dyDescent="0.2">
      <c r="A792" t="s">
        <v>1457</v>
      </c>
      <c r="B792" t="s">
        <v>1458</v>
      </c>
      <c r="C792">
        <v>330</v>
      </c>
      <c r="D792" t="s">
        <v>16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</row>
    <row r="793" spans="1:15" x14ac:dyDescent="0.2">
      <c r="A793" t="s">
        <v>1459</v>
      </c>
      <c r="B793" t="s">
        <v>1460</v>
      </c>
      <c r="C793">
        <v>8</v>
      </c>
      <c r="D793" t="s">
        <v>291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</row>
    <row r="794" spans="1:15" x14ac:dyDescent="0.2">
      <c r="A794" t="s">
        <v>1461</v>
      </c>
      <c r="B794" t="s">
        <v>1462</v>
      </c>
      <c r="C794">
        <v>35</v>
      </c>
      <c r="D794" t="s">
        <v>16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</row>
    <row r="795" spans="1:15" x14ac:dyDescent="0.2">
      <c r="A795" t="s">
        <v>1463</v>
      </c>
      <c r="B795" t="s">
        <v>1464</v>
      </c>
      <c r="C795">
        <v>100</v>
      </c>
      <c r="D795" t="s">
        <v>16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</row>
    <row r="796" spans="1:15" x14ac:dyDescent="0.2">
      <c r="A796" t="s">
        <v>1465</v>
      </c>
      <c r="B796" t="s">
        <v>1466</v>
      </c>
      <c r="C796">
        <v>80</v>
      </c>
      <c r="D796" t="s">
        <v>147</v>
      </c>
      <c r="E796">
        <v>1.5</v>
      </c>
      <c r="F796">
        <v>1</v>
      </c>
      <c r="G796">
        <v>1</v>
      </c>
      <c r="H796">
        <v>1</v>
      </c>
      <c r="I796">
        <v>1.25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</row>
    <row r="797" spans="1:15" x14ac:dyDescent="0.2">
      <c r="A797" t="s">
        <v>1467</v>
      </c>
      <c r="B797" t="s">
        <v>1468</v>
      </c>
      <c r="C797">
        <v>110</v>
      </c>
      <c r="D797" t="s">
        <v>16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</row>
    <row r="798" spans="1:15" x14ac:dyDescent="0.2">
      <c r="A798" t="s">
        <v>1469</v>
      </c>
      <c r="B798" t="s">
        <v>1470</v>
      </c>
      <c r="C798">
        <v>150</v>
      </c>
      <c r="D798" t="s">
        <v>152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</row>
    <row r="799" spans="1:15" x14ac:dyDescent="0.2">
      <c r="A799" t="s">
        <v>1471</v>
      </c>
      <c r="B799" t="s">
        <v>1472</v>
      </c>
      <c r="C799">
        <v>120</v>
      </c>
      <c r="D799" t="s">
        <v>16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</row>
    <row r="800" spans="1:15" x14ac:dyDescent="0.2">
      <c r="A800" t="s">
        <v>1473</v>
      </c>
      <c r="B800" t="s">
        <v>1474</v>
      </c>
      <c r="C800">
        <v>500</v>
      </c>
      <c r="D800" t="s">
        <v>23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1.3</v>
      </c>
      <c r="L800">
        <v>1</v>
      </c>
      <c r="M800">
        <v>1</v>
      </c>
      <c r="N800">
        <v>1</v>
      </c>
      <c r="O800">
        <v>1</v>
      </c>
    </row>
    <row r="801" spans="1:15" x14ac:dyDescent="0.2">
      <c r="A801" t="s">
        <v>1932</v>
      </c>
      <c r="B801" t="s">
        <v>1933</v>
      </c>
      <c r="C801">
        <v>500</v>
      </c>
      <c r="D801" t="s">
        <v>16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</row>
    <row r="802" spans="1:15" x14ac:dyDescent="0.2">
      <c r="A802" t="s">
        <v>1475</v>
      </c>
      <c r="B802" t="s">
        <v>1476</v>
      </c>
      <c r="C802">
        <v>0</v>
      </c>
      <c r="D802" t="s">
        <v>16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</row>
    <row r="803" spans="1:15" x14ac:dyDescent="0.2">
      <c r="A803" t="s">
        <v>1477</v>
      </c>
      <c r="B803" t="s">
        <v>1478</v>
      </c>
      <c r="C803">
        <v>7777</v>
      </c>
      <c r="D803" t="s">
        <v>16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</row>
    <row r="804" spans="1:15" x14ac:dyDescent="0.2">
      <c r="A804" t="s">
        <v>1934</v>
      </c>
      <c r="B804" t="s">
        <v>1935</v>
      </c>
      <c r="C804">
        <v>77</v>
      </c>
      <c r="D804" t="s">
        <v>16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</row>
    <row r="805" spans="1:15" x14ac:dyDescent="0.2">
      <c r="A805" t="s">
        <v>1479</v>
      </c>
      <c r="B805" t="s">
        <v>1480</v>
      </c>
      <c r="C805">
        <v>750</v>
      </c>
      <c r="D805" t="s">
        <v>178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1.2</v>
      </c>
    </row>
    <row r="806" spans="1:15" x14ac:dyDescent="0.2">
      <c r="A806" t="s">
        <v>1481</v>
      </c>
      <c r="B806" t="s">
        <v>1482</v>
      </c>
      <c r="C806">
        <v>1550</v>
      </c>
      <c r="D806" t="s">
        <v>26</v>
      </c>
      <c r="E806">
        <v>1</v>
      </c>
      <c r="F806">
        <v>1.4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</row>
    <row r="807" spans="1:15" x14ac:dyDescent="0.2">
      <c r="A807" t="s">
        <v>1483</v>
      </c>
      <c r="B807" t="s">
        <v>1484</v>
      </c>
      <c r="C807">
        <v>200</v>
      </c>
      <c r="D807" t="s">
        <v>16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5" x14ac:dyDescent="0.2">
      <c r="A808" t="s">
        <v>1485</v>
      </c>
      <c r="B808" t="s">
        <v>1486</v>
      </c>
      <c r="C808">
        <v>2250</v>
      </c>
      <c r="D808" t="s">
        <v>26</v>
      </c>
      <c r="E808">
        <v>1</v>
      </c>
      <c r="F808">
        <v>1.4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</row>
    <row r="809" spans="1:15" x14ac:dyDescent="0.2">
      <c r="A809" t="s">
        <v>1487</v>
      </c>
      <c r="B809" t="s">
        <v>1488</v>
      </c>
      <c r="C809">
        <v>1</v>
      </c>
      <c r="D809" t="s">
        <v>16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</row>
    <row r="810" spans="1:15" x14ac:dyDescent="0.2">
      <c r="A810" t="s">
        <v>1489</v>
      </c>
      <c r="B810" t="s">
        <v>1490</v>
      </c>
      <c r="C810">
        <v>180</v>
      </c>
      <c r="D810" t="s">
        <v>147</v>
      </c>
      <c r="E810">
        <v>1.5</v>
      </c>
      <c r="F810">
        <v>1</v>
      </c>
      <c r="G810">
        <v>1</v>
      </c>
      <c r="H810">
        <v>1</v>
      </c>
      <c r="I810">
        <v>1.25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</row>
    <row r="811" spans="1:15" x14ac:dyDescent="0.2">
      <c r="A811" t="s">
        <v>1491</v>
      </c>
      <c r="B811" t="s">
        <v>1492</v>
      </c>
      <c r="C811">
        <v>270</v>
      </c>
      <c r="D811" t="s">
        <v>16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</row>
    <row r="812" spans="1:15" x14ac:dyDescent="0.2">
      <c r="A812" t="s">
        <v>1493</v>
      </c>
      <c r="B812" t="s">
        <v>1494</v>
      </c>
      <c r="C812">
        <v>335</v>
      </c>
      <c r="D812" t="s">
        <v>152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</row>
    <row r="813" spans="1:15" x14ac:dyDescent="0.2">
      <c r="A813" t="s">
        <v>1495</v>
      </c>
      <c r="B813" t="s">
        <v>1496</v>
      </c>
      <c r="C813">
        <v>0</v>
      </c>
      <c r="D813" t="s">
        <v>16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</row>
    <row r="814" spans="1:15" x14ac:dyDescent="0.2">
      <c r="A814" t="s">
        <v>1497</v>
      </c>
      <c r="B814" t="s">
        <v>1498</v>
      </c>
      <c r="C814">
        <v>0</v>
      </c>
      <c r="D814" t="s">
        <v>16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</row>
    <row r="815" spans="1:15" x14ac:dyDescent="0.2">
      <c r="A815" t="s">
        <v>1499</v>
      </c>
      <c r="B815" t="s">
        <v>1500</v>
      </c>
      <c r="C815">
        <v>2</v>
      </c>
      <c r="D815" t="s">
        <v>16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</row>
    <row r="816" spans="1:15" x14ac:dyDescent="0.2">
      <c r="A816" t="s">
        <v>1501</v>
      </c>
      <c r="B816" t="s">
        <v>1502</v>
      </c>
      <c r="C816">
        <v>1</v>
      </c>
      <c r="D816" t="s">
        <v>16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</row>
    <row r="817" spans="1:15" x14ac:dyDescent="0.2">
      <c r="A817" t="s">
        <v>1503</v>
      </c>
      <c r="B817" t="s">
        <v>1504</v>
      </c>
      <c r="C817">
        <v>1</v>
      </c>
      <c r="D817" t="s">
        <v>16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</row>
    <row r="818" spans="1:15" x14ac:dyDescent="0.2">
      <c r="A818" t="s">
        <v>1505</v>
      </c>
      <c r="B818" t="s">
        <v>1506</v>
      </c>
      <c r="C818">
        <v>300</v>
      </c>
      <c r="D818" t="s">
        <v>147</v>
      </c>
      <c r="E818">
        <v>1.5</v>
      </c>
      <c r="F818">
        <v>1</v>
      </c>
      <c r="G818">
        <v>1</v>
      </c>
      <c r="H818">
        <v>1</v>
      </c>
      <c r="I818">
        <v>1.25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</row>
    <row r="819" spans="1:15" x14ac:dyDescent="0.2">
      <c r="A819" t="s">
        <v>1507</v>
      </c>
      <c r="B819" t="s">
        <v>1508</v>
      </c>
      <c r="C819">
        <v>450</v>
      </c>
      <c r="D819" t="s">
        <v>16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</row>
    <row r="820" spans="1:15" x14ac:dyDescent="0.2">
      <c r="A820" t="s">
        <v>1509</v>
      </c>
      <c r="B820" t="s">
        <v>1510</v>
      </c>
      <c r="C820">
        <v>225</v>
      </c>
      <c r="D820" t="s">
        <v>152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</row>
    <row r="821" spans="1:15" x14ac:dyDescent="0.2">
      <c r="A821" t="s">
        <v>1511</v>
      </c>
      <c r="B821" t="s">
        <v>1512</v>
      </c>
      <c r="C821">
        <v>1000</v>
      </c>
      <c r="D821" t="s">
        <v>16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</row>
    <row r="822" spans="1:15" x14ac:dyDescent="0.2">
      <c r="A822" t="s">
        <v>1513</v>
      </c>
      <c r="B822" t="s">
        <v>1514</v>
      </c>
      <c r="C822">
        <v>1000</v>
      </c>
      <c r="D822" t="s">
        <v>16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</row>
    <row r="823" spans="1:15" x14ac:dyDescent="0.2">
      <c r="A823" t="s">
        <v>1515</v>
      </c>
      <c r="B823" t="s">
        <v>1516</v>
      </c>
      <c r="C823">
        <v>1</v>
      </c>
      <c r="D823" t="s">
        <v>16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</row>
    <row r="824" spans="1:15" x14ac:dyDescent="0.2">
      <c r="A824" t="s">
        <v>1517</v>
      </c>
      <c r="B824" t="s">
        <v>1518</v>
      </c>
      <c r="C824">
        <v>120</v>
      </c>
      <c r="D824" t="s">
        <v>178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1.2</v>
      </c>
    </row>
    <row r="825" spans="1:15" x14ac:dyDescent="0.2">
      <c r="A825" t="s">
        <v>1519</v>
      </c>
      <c r="B825" t="s">
        <v>1520</v>
      </c>
      <c r="C825">
        <v>290</v>
      </c>
      <c r="D825" t="s">
        <v>26</v>
      </c>
      <c r="E825">
        <v>1</v>
      </c>
      <c r="F825">
        <v>1.4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</row>
    <row r="826" spans="1:15" x14ac:dyDescent="0.2">
      <c r="A826" t="s">
        <v>1521</v>
      </c>
      <c r="B826" t="s">
        <v>1522</v>
      </c>
      <c r="C826">
        <v>0</v>
      </c>
      <c r="D826" t="s">
        <v>16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</row>
    <row r="827" spans="1:15" x14ac:dyDescent="0.2">
      <c r="A827" t="s">
        <v>1523</v>
      </c>
      <c r="B827" t="s">
        <v>1524</v>
      </c>
      <c r="C827">
        <v>360</v>
      </c>
      <c r="D827" t="s">
        <v>26</v>
      </c>
      <c r="E827">
        <v>1</v>
      </c>
      <c r="F827">
        <v>1.4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</row>
    <row r="828" spans="1:15" x14ac:dyDescent="0.2">
      <c r="A828" t="s">
        <v>1525</v>
      </c>
      <c r="B828" t="s">
        <v>1526</v>
      </c>
      <c r="C828">
        <v>165</v>
      </c>
      <c r="D828" t="s">
        <v>152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</row>
    <row r="829" spans="1:15" x14ac:dyDescent="0.2">
      <c r="A829" t="s">
        <v>1527</v>
      </c>
      <c r="B829" t="s">
        <v>1528</v>
      </c>
      <c r="C829">
        <v>1500</v>
      </c>
      <c r="D829" t="s">
        <v>16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</row>
    <row r="830" spans="1:15" x14ac:dyDescent="0.2">
      <c r="A830" t="s">
        <v>1529</v>
      </c>
      <c r="B830" t="s">
        <v>1530</v>
      </c>
      <c r="C830">
        <v>200</v>
      </c>
      <c r="D830" t="s">
        <v>147</v>
      </c>
      <c r="E830">
        <v>1.5</v>
      </c>
      <c r="F830">
        <v>1</v>
      </c>
      <c r="G830">
        <v>1</v>
      </c>
      <c r="H830">
        <v>1</v>
      </c>
      <c r="I830">
        <v>1.25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</row>
    <row r="831" spans="1:15" x14ac:dyDescent="0.2">
      <c r="A831" t="s">
        <v>1531</v>
      </c>
      <c r="B831" t="s">
        <v>1532</v>
      </c>
      <c r="C831">
        <v>300</v>
      </c>
      <c r="D831" t="s">
        <v>16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</row>
    <row r="832" spans="1:15" x14ac:dyDescent="0.2">
      <c r="A832" t="s">
        <v>1533</v>
      </c>
      <c r="B832" t="s">
        <v>1534</v>
      </c>
      <c r="C832">
        <v>50</v>
      </c>
      <c r="D832" t="s">
        <v>16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</row>
    <row r="833" spans="1:15" x14ac:dyDescent="0.2">
      <c r="A833" t="s">
        <v>1535</v>
      </c>
      <c r="B833" t="s">
        <v>1536</v>
      </c>
      <c r="C833">
        <v>55</v>
      </c>
      <c r="D833" t="s">
        <v>16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</row>
    <row r="834" spans="1:15" x14ac:dyDescent="0.2">
      <c r="A834" t="s">
        <v>1537</v>
      </c>
      <c r="B834" t="s">
        <v>1538</v>
      </c>
      <c r="C834">
        <v>90</v>
      </c>
      <c r="D834" t="s">
        <v>291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1.2</v>
      </c>
    </row>
    <row r="835" spans="1:15" x14ac:dyDescent="0.2">
      <c r="A835" t="s">
        <v>1539</v>
      </c>
      <c r="B835" t="s">
        <v>1540</v>
      </c>
      <c r="C835">
        <v>280</v>
      </c>
      <c r="D835" t="s">
        <v>26</v>
      </c>
      <c r="E835">
        <v>1</v>
      </c>
      <c r="F835">
        <v>1.4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</row>
    <row r="836" spans="1:15" x14ac:dyDescent="0.2">
      <c r="A836" t="s">
        <v>1936</v>
      </c>
      <c r="B836" t="s">
        <v>1937</v>
      </c>
      <c r="C836">
        <v>45</v>
      </c>
      <c r="D836" t="s">
        <v>155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1.2</v>
      </c>
    </row>
    <row r="837" spans="1:15" x14ac:dyDescent="0.2">
      <c r="A837" t="s">
        <v>1938</v>
      </c>
      <c r="B837" t="s">
        <v>1939</v>
      </c>
      <c r="C837">
        <v>140</v>
      </c>
      <c r="D837" t="s">
        <v>26</v>
      </c>
      <c r="E837">
        <v>1</v>
      </c>
      <c r="F837">
        <v>1.4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</row>
    <row r="838" spans="1:15" x14ac:dyDescent="0.2">
      <c r="A838" t="s">
        <v>1940</v>
      </c>
      <c r="B838" t="s">
        <v>1941</v>
      </c>
      <c r="C838">
        <v>20</v>
      </c>
      <c r="D838" t="s">
        <v>16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</row>
    <row r="839" spans="1:15" x14ac:dyDescent="0.2">
      <c r="A839" t="s">
        <v>1541</v>
      </c>
      <c r="B839" t="s">
        <v>1542</v>
      </c>
      <c r="C839">
        <v>30</v>
      </c>
      <c r="D839" t="s">
        <v>147</v>
      </c>
      <c r="E839">
        <v>1.5</v>
      </c>
      <c r="F839">
        <v>1</v>
      </c>
      <c r="G839">
        <v>1</v>
      </c>
      <c r="H839">
        <v>1</v>
      </c>
      <c r="I839">
        <v>1.25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</row>
    <row r="840" spans="1:15" x14ac:dyDescent="0.2">
      <c r="A840" t="s">
        <v>1543</v>
      </c>
      <c r="B840" t="s">
        <v>1544</v>
      </c>
      <c r="C840">
        <v>45</v>
      </c>
      <c r="D840" t="s">
        <v>16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</row>
    <row r="841" spans="1:15" x14ac:dyDescent="0.2">
      <c r="A841" t="s">
        <v>1545</v>
      </c>
      <c r="B841" t="s">
        <v>1546</v>
      </c>
      <c r="C841">
        <v>80</v>
      </c>
      <c r="D841" t="s">
        <v>291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1.2</v>
      </c>
    </row>
    <row r="842" spans="1:15" x14ac:dyDescent="0.2">
      <c r="A842" t="s">
        <v>1547</v>
      </c>
      <c r="B842" t="s">
        <v>1548</v>
      </c>
      <c r="C842">
        <v>260</v>
      </c>
      <c r="D842" t="s">
        <v>26</v>
      </c>
      <c r="E842">
        <v>1</v>
      </c>
      <c r="F842">
        <v>1.4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</row>
    <row r="843" spans="1:15" x14ac:dyDescent="0.2">
      <c r="A843" t="s">
        <v>1549</v>
      </c>
      <c r="B843" t="s">
        <v>1550</v>
      </c>
      <c r="C843">
        <v>20</v>
      </c>
      <c r="D843" t="s">
        <v>16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</row>
    <row r="844" spans="1:15" x14ac:dyDescent="0.2">
      <c r="A844" t="s">
        <v>1551</v>
      </c>
      <c r="B844" t="s">
        <v>1552</v>
      </c>
      <c r="C844">
        <v>250</v>
      </c>
      <c r="D844" t="s">
        <v>147</v>
      </c>
      <c r="E844">
        <v>1.5</v>
      </c>
      <c r="F844">
        <v>1</v>
      </c>
      <c r="G844">
        <v>1</v>
      </c>
      <c r="H844">
        <v>1</v>
      </c>
      <c r="I844">
        <v>1.25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</row>
    <row r="845" spans="1:15" x14ac:dyDescent="0.2">
      <c r="A845" t="s">
        <v>1553</v>
      </c>
      <c r="B845" t="s">
        <v>1554</v>
      </c>
      <c r="C845">
        <v>375</v>
      </c>
      <c r="D845" t="s">
        <v>16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</row>
    <row r="846" spans="1:15" x14ac:dyDescent="0.2">
      <c r="A846" t="s">
        <v>1555</v>
      </c>
      <c r="B846" t="s">
        <v>1556</v>
      </c>
      <c r="C846">
        <v>220</v>
      </c>
      <c r="D846" t="s">
        <v>152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</row>
    <row r="847" spans="1:15" x14ac:dyDescent="0.2">
      <c r="A847" t="s">
        <v>1557</v>
      </c>
      <c r="B847" t="s">
        <v>1558</v>
      </c>
      <c r="C847">
        <v>1</v>
      </c>
      <c r="D847" t="s">
        <v>16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</row>
    <row r="848" spans="1:15" x14ac:dyDescent="0.2">
      <c r="A848" t="s">
        <v>1559</v>
      </c>
      <c r="B848" t="s">
        <v>1560</v>
      </c>
      <c r="C848">
        <v>180</v>
      </c>
      <c r="D848" t="s">
        <v>152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</row>
    <row r="849" spans="1:15" x14ac:dyDescent="0.2">
      <c r="A849" t="s">
        <v>1561</v>
      </c>
      <c r="B849" t="s">
        <v>1562</v>
      </c>
      <c r="C849">
        <v>3000</v>
      </c>
      <c r="D849" t="s">
        <v>16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</row>
    <row r="850" spans="1:15" x14ac:dyDescent="0.2">
      <c r="A850" t="s">
        <v>1563</v>
      </c>
      <c r="B850" t="s">
        <v>1564</v>
      </c>
      <c r="C850">
        <v>50</v>
      </c>
      <c r="D850" t="s">
        <v>291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1.2</v>
      </c>
    </row>
    <row r="851" spans="1:15" x14ac:dyDescent="0.2">
      <c r="A851" t="s">
        <v>1565</v>
      </c>
      <c r="B851" t="s">
        <v>1566</v>
      </c>
      <c r="C851">
        <v>200</v>
      </c>
      <c r="D851" t="s">
        <v>26</v>
      </c>
      <c r="E851">
        <v>1</v>
      </c>
      <c r="F851">
        <v>1.4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</row>
    <row r="852" spans="1:15" x14ac:dyDescent="0.2">
      <c r="A852" t="s">
        <v>1567</v>
      </c>
      <c r="B852" t="s">
        <v>1568</v>
      </c>
      <c r="C852">
        <v>100</v>
      </c>
      <c r="D852" t="s">
        <v>155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1.2</v>
      </c>
    </row>
    <row r="853" spans="1:15" x14ac:dyDescent="0.2">
      <c r="A853" t="s">
        <v>1569</v>
      </c>
      <c r="B853" t="s">
        <v>1570</v>
      </c>
      <c r="C853">
        <v>250</v>
      </c>
      <c r="D853" t="s">
        <v>26</v>
      </c>
      <c r="E853">
        <v>1</v>
      </c>
      <c r="F853">
        <v>1.4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</row>
    <row r="854" spans="1:15" x14ac:dyDescent="0.2">
      <c r="A854" t="s">
        <v>1571</v>
      </c>
      <c r="B854" t="s">
        <v>1572</v>
      </c>
      <c r="C854">
        <v>20</v>
      </c>
      <c r="D854" t="s">
        <v>16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</row>
    <row r="855" spans="1:15" x14ac:dyDescent="0.2">
      <c r="A855" t="s">
        <v>1573</v>
      </c>
      <c r="B855" t="s">
        <v>1574</v>
      </c>
      <c r="C855">
        <v>50</v>
      </c>
      <c r="D855" t="s">
        <v>155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1.2</v>
      </c>
    </row>
    <row r="856" spans="1:15" x14ac:dyDescent="0.2">
      <c r="A856" t="s">
        <v>1575</v>
      </c>
      <c r="B856" t="s">
        <v>1576</v>
      </c>
      <c r="C856">
        <v>250</v>
      </c>
      <c r="D856" t="s">
        <v>16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</row>
    <row r="857" spans="1:15" x14ac:dyDescent="0.2">
      <c r="A857" t="s">
        <v>1577</v>
      </c>
      <c r="B857" t="s">
        <v>1578</v>
      </c>
      <c r="C857">
        <v>200</v>
      </c>
      <c r="D857" t="s">
        <v>16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</row>
    <row r="858" spans="1:15" x14ac:dyDescent="0.2">
      <c r="A858" t="s">
        <v>1942</v>
      </c>
      <c r="B858" t="s">
        <v>1943</v>
      </c>
      <c r="C858">
        <v>200</v>
      </c>
      <c r="D858" t="s">
        <v>16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</row>
    <row r="859" spans="1:15" x14ac:dyDescent="0.2">
      <c r="A859" t="s">
        <v>1944</v>
      </c>
      <c r="B859" t="s">
        <v>1945</v>
      </c>
      <c r="C859">
        <v>3000</v>
      </c>
      <c r="D859" t="s">
        <v>16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</row>
    <row r="860" spans="1:15" x14ac:dyDescent="0.2">
      <c r="A860" t="s">
        <v>1946</v>
      </c>
      <c r="B860" t="s">
        <v>1947</v>
      </c>
      <c r="C860">
        <v>1000</v>
      </c>
      <c r="D860" t="s">
        <v>16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</row>
    <row r="861" spans="1:15" x14ac:dyDescent="0.2">
      <c r="A861" t="s">
        <v>1948</v>
      </c>
      <c r="B861" t="s">
        <v>1949</v>
      </c>
      <c r="C861">
        <v>1000</v>
      </c>
      <c r="D861" t="s">
        <v>16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</row>
    <row r="862" spans="1:15" x14ac:dyDescent="0.2">
      <c r="A862" t="s">
        <v>1579</v>
      </c>
      <c r="B862" t="s">
        <v>1580</v>
      </c>
      <c r="C862">
        <v>200</v>
      </c>
      <c r="D862" t="s">
        <v>16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</row>
    <row r="863" spans="1:15" x14ac:dyDescent="0.2">
      <c r="A863" t="s">
        <v>1581</v>
      </c>
      <c r="B863" t="s">
        <v>1582</v>
      </c>
      <c r="C863">
        <v>100</v>
      </c>
      <c r="D863" t="s">
        <v>23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1.3</v>
      </c>
      <c r="L863">
        <v>1</v>
      </c>
      <c r="M863">
        <v>1</v>
      </c>
      <c r="N863">
        <v>1</v>
      </c>
      <c r="O863">
        <v>1</v>
      </c>
    </row>
    <row r="864" spans="1:15" x14ac:dyDescent="0.2">
      <c r="A864" t="s">
        <v>1583</v>
      </c>
      <c r="B864" t="s">
        <v>1584</v>
      </c>
      <c r="C864">
        <v>8000</v>
      </c>
      <c r="D864" t="s">
        <v>16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</row>
    <row r="865" spans="1:15" x14ac:dyDescent="0.2">
      <c r="A865" t="s">
        <v>1585</v>
      </c>
      <c r="B865" t="s">
        <v>1586</v>
      </c>
      <c r="C865">
        <v>150</v>
      </c>
      <c r="D865" t="s">
        <v>147</v>
      </c>
      <c r="E865">
        <v>1.5</v>
      </c>
      <c r="F865">
        <v>1</v>
      </c>
      <c r="G865">
        <v>1</v>
      </c>
      <c r="H865">
        <v>1</v>
      </c>
      <c r="I865">
        <v>1.25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</row>
    <row r="866" spans="1:15" x14ac:dyDescent="0.2">
      <c r="A866" t="s">
        <v>1587</v>
      </c>
      <c r="B866" t="s">
        <v>1588</v>
      </c>
      <c r="C866">
        <v>225</v>
      </c>
      <c r="D866" t="s">
        <v>16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</row>
    <row r="867" spans="1:15" x14ac:dyDescent="0.2">
      <c r="A867" t="s">
        <v>1589</v>
      </c>
      <c r="B867" t="s">
        <v>1590</v>
      </c>
      <c r="C867">
        <v>275</v>
      </c>
      <c r="D867" t="s">
        <v>23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1.3</v>
      </c>
      <c r="L867">
        <v>1</v>
      </c>
      <c r="M867">
        <v>1</v>
      </c>
      <c r="N867">
        <v>1</v>
      </c>
      <c r="O867">
        <v>1</v>
      </c>
    </row>
    <row r="868" spans="1:15" x14ac:dyDescent="0.2">
      <c r="A868" t="s">
        <v>1591</v>
      </c>
      <c r="B868" t="s">
        <v>1592</v>
      </c>
      <c r="C868">
        <v>75</v>
      </c>
      <c r="D868" t="s">
        <v>147</v>
      </c>
      <c r="E868">
        <v>1.5</v>
      </c>
      <c r="F868">
        <v>1</v>
      </c>
      <c r="G868">
        <v>1</v>
      </c>
      <c r="H868">
        <v>1</v>
      </c>
      <c r="I868">
        <v>1.25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</row>
    <row r="869" spans="1:15" x14ac:dyDescent="0.2">
      <c r="A869" t="s">
        <v>1593</v>
      </c>
      <c r="B869" t="s">
        <v>1594</v>
      </c>
      <c r="C869">
        <v>112</v>
      </c>
      <c r="D869" t="s">
        <v>16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</row>
    <row r="870" spans="1:15" x14ac:dyDescent="0.2">
      <c r="A870" t="s">
        <v>1595</v>
      </c>
      <c r="B870" t="s">
        <v>1596</v>
      </c>
      <c r="C870">
        <v>250</v>
      </c>
      <c r="D870" t="s">
        <v>152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</row>
    <row r="871" spans="1:15" x14ac:dyDescent="0.2">
      <c r="A871" t="s">
        <v>1597</v>
      </c>
      <c r="B871" t="s">
        <v>1598</v>
      </c>
      <c r="C871">
        <v>60</v>
      </c>
      <c r="D871" t="s">
        <v>155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1.2</v>
      </c>
    </row>
    <row r="872" spans="1:15" x14ac:dyDescent="0.2">
      <c r="A872" t="s">
        <v>1599</v>
      </c>
      <c r="B872" t="s">
        <v>1600</v>
      </c>
      <c r="C872">
        <v>170</v>
      </c>
      <c r="D872" t="s">
        <v>26</v>
      </c>
      <c r="E872">
        <v>1</v>
      </c>
      <c r="F872">
        <v>1.4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</row>
    <row r="873" spans="1:15" x14ac:dyDescent="0.2">
      <c r="A873" t="s">
        <v>1601</v>
      </c>
      <c r="B873" t="s">
        <v>1602</v>
      </c>
      <c r="C873">
        <v>25</v>
      </c>
      <c r="D873" t="s">
        <v>16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</row>
    <row r="874" spans="1:15" x14ac:dyDescent="0.2">
      <c r="A874" t="s">
        <v>1603</v>
      </c>
      <c r="B874" t="s">
        <v>1604</v>
      </c>
      <c r="C874">
        <v>80</v>
      </c>
      <c r="D874" t="s">
        <v>23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1.3</v>
      </c>
      <c r="L874">
        <v>1</v>
      </c>
      <c r="M874">
        <v>1</v>
      </c>
      <c r="N874">
        <v>1</v>
      </c>
      <c r="O874">
        <v>1</v>
      </c>
    </row>
    <row r="875" spans="1:15" x14ac:dyDescent="0.2">
      <c r="A875" t="s">
        <v>1605</v>
      </c>
      <c r="B875" t="s">
        <v>1606</v>
      </c>
      <c r="C875">
        <v>200</v>
      </c>
      <c r="D875" t="s">
        <v>16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</row>
    <row r="876" spans="1:15" x14ac:dyDescent="0.2">
      <c r="A876" t="s">
        <v>1607</v>
      </c>
      <c r="B876" t="s">
        <v>1608</v>
      </c>
      <c r="C876">
        <v>5</v>
      </c>
      <c r="D876" t="s">
        <v>16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</row>
    <row r="877" spans="1:15" x14ac:dyDescent="0.2">
      <c r="A877" t="s">
        <v>1609</v>
      </c>
      <c r="B877" t="s">
        <v>1610</v>
      </c>
      <c r="C877">
        <v>50</v>
      </c>
      <c r="D877" t="s">
        <v>152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</row>
    <row r="878" spans="1:15" x14ac:dyDescent="0.2">
      <c r="A878" t="s">
        <v>1611</v>
      </c>
      <c r="B878" t="s">
        <v>1612</v>
      </c>
      <c r="C878">
        <v>200</v>
      </c>
      <c r="D878" t="s">
        <v>16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</row>
    <row r="879" spans="1:15" x14ac:dyDescent="0.2">
      <c r="A879" t="s">
        <v>1613</v>
      </c>
      <c r="B879" t="s">
        <v>1614</v>
      </c>
      <c r="C879">
        <v>0</v>
      </c>
      <c r="D879" t="s">
        <v>16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</row>
    <row r="880" spans="1:15" x14ac:dyDescent="0.2">
      <c r="A880" t="s">
        <v>1615</v>
      </c>
      <c r="B880" t="s">
        <v>1616</v>
      </c>
      <c r="C880">
        <v>5000</v>
      </c>
      <c r="D880" t="s">
        <v>16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</row>
    <row r="881" spans="1:15" x14ac:dyDescent="0.2">
      <c r="A881" t="s">
        <v>1617</v>
      </c>
      <c r="B881" t="s">
        <v>1618</v>
      </c>
      <c r="C881">
        <v>250</v>
      </c>
      <c r="D881" t="s">
        <v>16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</row>
    <row r="882" spans="1:15" x14ac:dyDescent="0.2">
      <c r="A882" t="s">
        <v>1950</v>
      </c>
      <c r="B882" t="s">
        <v>1951</v>
      </c>
      <c r="C882">
        <v>20</v>
      </c>
      <c r="D882" t="s">
        <v>16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</row>
    <row r="883" spans="1:15" x14ac:dyDescent="0.2">
      <c r="A883" t="s">
        <v>1619</v>
      </c>
      <c r="B883" t="s">
        <v>1620</v>
      </c>
      <c r="C883">
        <v>10</v>
      </c>
      <c r="D883" t="s">
        <v>16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</row>
    <row r="884" spans="1:15" x14ac:dyDescent="0.2">
      <c r="A884" t="s">
        <v>1621</v>
      </c>
      <c r="B884" t="s">
        <v>1622</v>
      </c>
      <c r="C884">
        <v>50</v>
      </c>
      <c r="D884" t="s">
        <v>16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</row>
    <row r="885" spans="1:15" x14ac:dyDescent="0.2">
      <c r="A885" t="s">
        <v>1623</v>
      </c>
      <c r="B885" t="s">
        <v>1624</v>
      </c>
      <c r="C885">
        <v>0</v>
      </c>
      <c r="D885" t="s">
        <v>16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</row>
    <row r="886" spans="1:15" x14ac:dyDescent="0.2">
      <c r="A886" t="s">
        <v>1625</v>
      </c>
      <c r="B886" t="s">
        <v>1626</v>
      </c>
      <c r="C886">
        <v>450</v>
      </c>
      <c r="D886" t="s">
        <v>152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</row>
    <row r="887" spans="1:15" x14ac:dyDescent="0.2">
      <c r="A887" t="s">
        <v>1627</v>
      </c>
      <c r="B887" t="s">
        <v>1628</v>
      </c>
      <c r="C887">
        <v>500</v>
      </c>
      <c r="D887" t="s">
        <v>152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</row>
    <row r="888" spans="1:15" x14ac:dyDescent="0.2">
      <c r="A888" t="s">
        <v>1629</v>
      </c>
      <c r="B888" t="s">
        <v>1630</v>
      </c>
      <c r="C888">
        <v>100</v>
      </c>
      <c r="D888" t="s">
        <v>152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</row>
    <row r="889" spans="1:15" x14ac:dyDescent="0.2">
      <c r="A889" t="s">
        <v>1631</v>
      </c>
      <c r="B889" t="s">
        <v>1632</v>
      </c>
      <c r="C889">
        <v>625</v>
      </c>
      <c r="D889" t="s">
        <v>16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</row>
    <row r="890" spans="1:15" x14ac:dyDescent="0.2">
      <c r="A890" t="s">
        <v>1633</v>
      </c>
      <c r="B890" t="s">
        <v>1634</v>
      </c>
      <c r="C890">
        <v>1065</v>
      </c>
      <c r="D890" t="s">
        <v>26</v>
      </c>
      <c r="E890">
        <v>1</v>
      </c>
      <c r="F890">
        <v>1.4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</row>
    <row r="891" spans="1:15" x14ac:dyDescent="0.2">
      <c r="A891" t="s">
        <v>1635</v>
      </c>
      <c r="B891" t="s">
        <v>1636</v>
      </c>
      <c r="C891">
        <v>30</v>
      </c>
      <c r="D891" t="s">
        <v>291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1.2</v>
      </c>
    </row>
    <row r="892" spans="1:15" x14ac:dyDescent="0.2">
      <c r="A892" t="s">
        <v>1637</v>
      </c>
      <c r="B892" t="s">
        <v>1638</v>
      </c>
      <c r="C892">
        <v>10</v>
      </c>
      <c r="D892" t="s">
        <v>16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</row>
    <row r="893" spans="1:15" x14ac:dyDescent="0.2">
      <c r="A893" t="s">
        <v>1639</v>
      </c>
      <c r="B893" t="s">
        <v>1640</v>
      </c>
      <c r="C893">
        <v>160</v>
      </c>
      <c r="D893" t="s">
        <v>26</v>
      </c>
      <c r="E893">
        <v>1</v>
      </c>
      <c r="F893">
        <v>1.4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</row>
    <row r="894" spans="1:15" x14ac:dyDescent="0.2">
      <c r="A894" t="s">
        <v>1641</v>
      </c>
      <c r="B894" t="s">
        <v>1642</v>
      </c>
      <c r="C894">
        <v>100</v>
      </c>
      <c r="D894" t="s">
        <v>147</v>
      </c>
      <c r="E894">
        <v>1.5</v>
      </c>
      <c r="F894">
        <v>1</v>
      </c>
      <c r="G894">
        <v>1</v>
      </c>
      <c r="H894">
        <v>1</v>
      </c>
      <c r="I894">
        <v>1.25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</row>
    <row r="895" spans="1:15" x14ac:dyDescent="0.2">
      <c r="A895" t="s">
        <v>1643</v>
      </c>
      <c r="B895" t="s">
        <v>1644</v>
      </c>
      <c r="C895">
        <v>150</v>
      </c>
      <c r="D895" t="s">
        <v>16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</row>
    <row r="896" spans="1:15" x14ac:dyDescent="0.2">
      <c r="A896" t="s">
        <v>1645</v>
      </c>
      <c r="B896" t="s">
        <v>1646</v>
      </c>
      <c r="C896">
        <v>0</v>
      </c>
      <c r="D896" t="s">
        <v>16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</row>
    <row r="897" spans="1:15" x14ac:dyDescent="0.2">
      <c r="A897" t="s">
        <v>1647</v>
      </c>
      <c r="B897" t="s">
        <v>1648</v>
      </c>
      <c r="C897">
        <v>30</v>
      </c>
      <c r="D897" t="s">
        <v>155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1.2</v>
      </c>
    </row>
    <row r="898" spans="1:15" x14ac:dyDescent="0.2">
      <c r="A898" t="s">
        <v>1649</v>
      </c>
      <c r="B898" t="s">
        <v>1650</v>
      </c>
      <c r="C898">
        <v>110</v>
      </c>
      <c r="D898" t="s">
        <v>26</v>
      </c>
      <c r="E898">
        <v>1</v>
      </c>
      <c r="F898">
        <v>1.4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</row>
    <row r="899" spans="1:15" x14ac:dyDescent="0.2">
      <c r="A899" t="s">
        <v>1651</v>
      </c>
      <c r="B899" t="s">
        <v>1652</v>
      </c>
      <c r="C899">
        <v>1500</v>
      </c>
      <c r="D899" t="s">
        <v>16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</row>
    <row r="900" spans="1:15" x14ac:dyDescent="0.2">
      <c r="A900" t="s">
        <v>1653</v>
      </c>
      <c r="B900" t="s">
        <v>1654</v>
      </c>
      <c r="C900">
        <v>120</v>
      </c>
      <c r="D900" t="s">
        <v>152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</row>
    <row r="901" spans="1:15" x14ac:dyDescent="0.2">
      <c r="A901" t="s">
        <v>1655</v>
      </c>
      <c r="B901" t="s">
        <v>1656</v>
      </c>
      <c r="C901">
        <v>100</v>
      </c>
      <c r="D901" t="s">
        <v>16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</row>
    <row r="902" spans="1:15" x14ac:dyDescent="0.2">
      <c r="A902" t="s">
        <v>1657</v>
      </c>
      <c r="B902" t="s">
        <v>1658</v>
      </c>
      <c r="C902">
        <v>65</v>
      </c>
      <c r="D902" t="s">
        <v>544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1.2</v>
      </c>
      <c r="M902">
        <v>1</v>
      </c>
      <c r="N902">
        <v>1</v>
      </c>
      <c r="O902">
        <v>1</v>
      </c>
    </row>
    <row r="903" spans="1:15" x14ac:dyDescent="0.2">
      <c r="A903" t="s">
        <v>1659</v>
      </c>
      <c r="B903" t="s">
        <v>1660</v>
      </c>
      <c r="C903">
        <v>50</v>
      </c>
      <c r="D903" t="s">
        <v>16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</row>
    <row r="904" spans="1:15" x14ac:dyDescent="0.2">
      <c r="A904" t="s">
        <v>1661</v>
      </c>
      <c r="B904" t="s">
        <v>1662</v>
      </c>
      <c r="C904">
        <v>4500</v>
      </c>
      <c r="D904" t="s">
        <v>16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</row>
    <row r="905" spans="1:15" x14ac:dyDescent="0.2">
      <c r="A905" t="s">
        <v>1663</v>
      </c>
      <c r="B905" t="s">
        <v>1664</v>
      </c>
      <c r="C905">
        <v>275</v>
      </c>
      <c r="D905" t="s">
        <v>26</v>
      </c>
      <c r="E905">
        <v>1</v>
      </c>
      <c r="F905">
        <v>1.4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</row>
    <row r="906" spans="1:15" x14ac:dyDescent="0.2">
      <c r="A906" t="s">
        <v>1665</v>
      </c>
      <c r="B906" t="s">
        <v>1666</v>
      </c>
      <c r="C906">
        <v>150</v>
      </c>
      <c r="D906" t="s">
        <v>147</v>
      </c>
      <c r="E906">
        <v>1.5</v>
      </c>
      <c r="F906">
        <v>1</v>
      </c>
      <c r="G906">
        <v>1</v>
      </c>
      <c r="H906">
        <v>1</v>
      </c>
      <c r="I906">
        <v>1.25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</row>
    <row r="907" spans="1:15" x14ac:dyDescent="0.2">
      <c r="A907" t="s">
        <v>1667</v>
      </c>
      <c r="B907" t="s">
        <v>1668</v>
      </c>
      <c r="C907">
        <v>225</v>
      </c>
      <c r="D907" t="s">
        <v>16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</row>
    <row r="908" spans="1:15" x14ac:dyDescent="0.2">
      <c r="A908" t="s">
        <v>1669</v>
      </c>
      <c r="B908" t="s">
        <v>1670</v>
      </c>
      <c r="C908">
        <v>105</v>
      </c>
      <c r="D908" t="s">
        <v>147</v>
      </c>
      <c r="E908">
        <v>1.5</v>
      </c>
      <c r="F908">
        <v>1</v>
      </c>
      <c r="G908">
        <v>1</v>
      </c>
      <c r="H908">
        <v>1</v>
      </c>
      <c r="I908">
        <v>1.25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</row>
    <row r="909" spans="1:15" x14ac:dyDescent="0.2">
      <c r="A909" t="s">
        <v>1671</v>
      </c>
      <c r="B909" t="s">
        <v>1672</v>
      </c>
      <c r="C909">
        <v>157</v>
      </c>
      <c r="D909" t="s">
        <v>16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</row>
    <row r="910" spans="1:15" x14ac:dyDescent="0.2">
      <c r="A910" t="s">
        <v>1673</v>
      </c>
      <c r="B910" t="s">
        <v>1674</v>
      </c>
      <c r="C910">
        <v>0</v>
      </c>
      <c r="D910" t="s">
        <v>16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</row>
    <row r="911" spans="1:15" x14ac:dyDescent="0.2">
      <c r="A911" t="s">
        <v>1675</v>
      </c>
      <c r="B911" t="s">
        <v>1676</v>
      </c>
      <c r="C911">
        <v>20</v>
      </c>
      <c r="D911" t="s">
        <v>16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</row>
    <row r="912" spans="1:15" x14ac:dyDescent="0.2">
      <c r="A912" t="s">
        <v>1677</v>
      </c>
      <c r="B912" t="s">
        <v>1678</v>
      </c>
      <c r="C912">
        <v>20</v>
      </c>
      <c r="D912" t="s">
        <v>16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</row>
    <row r="913" spans="1:15" x14ac:dyDescent="0.2">
      <c r="A913" t="s">
        <v>1679</v>
      </c>
      <c r="B913" t="s">
        <v>1680</v>
      </c>
      <c r="C913">
        <v>20</v>
      </c>
      <c r="D913" t="s">
        <v>16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</row>
    <row r="914" spans="1:15" x14ac:dyDescent="0.2">
      <c r="A914" t="s">
        <v>1681</v>
      </c>
      <c r="B914" t="s">
        <v>1682</v>
      </c>
      <c r="C914">
        <v>20</v>
      </c>
      <c r="D914" t="s">
        <v>16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</row>
    <row r="915" spans="1:15" x14ac:dyDescent="0.2">
      <c r="A915" t="s">
        <v>1683</v>
      </c>
      <c r="B915" t="s">
        <v>1684</v>
      </c>
      <c r="C915">
        <v>20</v>
      </c>
      <c r="D915" t="s">
        <v>16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</row>
    <row r="916" spans="1:15" x14ac:dyDescent="0.2">
      <c r="A916" t="s">
        <v>1685</v>
      </c>
      <c r="B916" t="s">
        <v>1686</v>
      </c>
      <c r="C916">
        <v>20</v>
      </c>
      <c r="D916" t="s">
        <v>16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</row>
    <row r="917" spans="1:15" x14ac:dyDescent="0.2">
      <c r="A917" t="s">
        <v>1687</v>
      </c>
      <c r="B917" t="s">
        <v>1688</v>
      </c>
      <c r="C917">
        <v>1500</v>
      </c>
      <c r="D917" t="s">
        <v>16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</row>
    <row r="918" spans="1:15" x14ac:dyDescent="0.2">
      <c r="A918" t="s">
        <v>1952</v>
      </c>
      <c r="B918" t="s">
        <v>1953</v>
      </c>
      <c r="C918">
        <v>5000</v>
      </c>
      <c r="D918" t="s">
        <v>16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</row>
    <row r="919" spans="1:15" x14ac:dyDescent="0.2">
      <c r="A919" t="s">
        <v>1954</v>
      </c>
      <c r="B919" t="s">
        <v>1955</v>
      </c>
      <c r="C919">
        <v>10000</v>
      </c>
      <c r="D919" t="s">
        <v>16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</row>
    <row r="920" spans="1:15" x14ac:dyDescent="0.2">
      <c r="A920" t="s">
        <v>1956</v>
      </c>
      <c r="B920" t="s">
        <v>1957</v>
      </c>
      <c r="C920">
        <v>1000</v>
      </c>
      <c r="D920" t="s">
        <v>16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</row>
    <row r="921" spans="1:15" x14ac:dyDescent="0.2">
      <c r="A921" t="s">
        <v>1689</v>
      </c>
      <c r="B921" t="s">
        <v>1690</v>
      </c>
      <c r="C921">
        <v>1</v>
      </c>
      <c r="D921" t="s">
        <v>16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</row>
    <row r="922" spans="1:15" x14ac:dyDescent="0.2">
      <c r="A922" t="s">
        <v>1691</v>
      </c>
      <c r="B922" t="s">
        <v>1692</v>
      </c>
      <c r="C922">
        <v>2000</v>
      </c>
      <c r="D922" t="s">
        <v>16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</row>
    <row r="923" spans="1:15" x14ac:dyDescent="0.2">
      <c r="A923" t="s">
        <v>1693</v>
      </c>
      <c r="B923" t="s">
        <v>1694</v>
      </c>
      <c r="C923">
        <v>0</v>
      </c>
      <c r="D923" t="s">
        <v>16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</row>
    <row r="924" spans="1:15" x14ac:dyDescent="0.2">
      <c r="A924" t="s">
        <v>1695</v>
      </c>
      <c r="B924" t="s">
        <v>1696</v>
      </c>
      <c r="C924">
        <v>25</v>
      </c>
      <c r="D924" t="s">
        <v>155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1.2</v>
      </c>
    </row>
    <row r="925" spans="1:15" x14ac:dyDescent="0.2">
      <c r="A925" t="s">
        <v>1697</v>
      </c>
      <c r="B925" t="s">
        <v>1698</v>
      </c>
      <c r="C925">
        <v>50</v>
      </c>
      <c r="D925" t="s">
        <v>16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</row>
    <row r="926" spans="1:15" x14ac:dyDescent="0.2">
      <c r="A926" t="s">
        <v>1699</v>
      </c>
      <c r="B926" t="s">
        <v>1700</v>
      </c>
      <c r="C926">
        <v>5</v>
      </c>
      <c r="D926" t="s">
        <v>16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</row>
    <row r="927" spans="1:15" x14ac:dyDescent="0.2">
      <c r="A927" t="s">
        <v>1701</v>
      </c>
      <c r="B927" t="s">
        <v>1702</v>
      </c>
      <c r="C927">
        <v>25</v>
      </c>
      <c r="D927" t="s">
        <v>16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</row>
    <row r="928" spans="1:15" x14ac:dyDescent="0.2">
      <c r="A928" t="s">
        <v>1703</v>
      </c>
      <c r="B928" t="s">
        <v>1704</v>
      </c>
      <c r="C928">
        <v>15</v>
      </c>
      <c r="D928" t="s">
        <v>16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</row>
    <row r="929" spans="1:15" x14ac:dyDescent="0.2">
      <c r="A929" t="s">
        <v>1705</v>
      </c>
      <c r="B929" t="s">
        <v>1706</v>
      </c>
      <c r="C929">
        <v>100</v>
      </c>
      <c r="D929" t="s">
        <v>26</v>
      </c>
      <c r="E929">
        <v>1</v>
      </c>
      <c r="F929">
        <v>1.4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</row>
    <row r="930" spans="1:15" x14ac:dyDescent="0.2">
      <c r="A930" t="s">
        <v>1707</v>
      </c>
      <c r="B930" t="s">
        <v>1708</v>
      </c>
      <c r="C930">
        <v>50</v>
      </c>
      <c r="D930" t="s">
        <v>291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</row>
    <row r="931" spans="1:15" x14ac:dyDescent="0.2">
      <c r="A931" t="s">
        <v>1709</v>
      </c>
      <c r="B931" t="s">
        <v>1710</v>
      </c>
      <c r="C931">
        <v>80</v>
      </c>
      <c r="D931" t="s">
        <v>178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1.2</v>
      </c>
    </row>
    <row r="932" spans="1:15" x14ac:dyDescent="0.2">
      <c r="A932" t="s">
        <v>1711</v>
      </c>
      <c r="B932" t="s">
        <v>1712</v>
      </c>
      <c r="C932">
        <v>210</v>
      </c>
      <c r="D932" t="s">
        <v>26</v>
      </c>
      <c r="E932">
        <v>1</v>
      </c>
      <c r="F932">
        <v>1.4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</row>
    <row r="933" spans="1:15" x14ac:dyDescent="0.2">
      <c r="A933" t="s">
        <v>1713</v>
      </c>
      <c r="B933" t="s">
        <v>1714</v>
      </c>
      <c r="C933">
        <v>240</v>
      </c>
      <c r="D933" t="s">
        <v>26</v>
      </c>
      <c r="E933">
        <v>1</v>
      </c>
      <c r="F933">
        <v>1.4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</row>
    <row r="934" spans="1:15" x14ac:dyDescent="0.2">
      <c r="A934" t="s">
        <v>1715</v>
      </c>
      <c r="B934" t="s">
        <v>1716</v>
      </c>
      <c r="C934">
        <v>100</v>
      </c>
      <c r="D934" t="s">
        <v>16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</row>
    <row r="935" spans="1:15" x14ac:dyDescent="0.2">
      <c r="A935" t="s">
        <v>1717</v>
      </c>
      <c r="B935" t="s">
        <v>1718</v>
      </c>
      <c r="C935">
        <v>400</v>
      </c>
      <c r="D935" t="s">
        <v>26</v>
      </c>
      <c r="E935">
        <v>1</v>
      </c>
      <c r="F935">
        <v>1.4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</row>
    <row r="936" spans="1:15" x14ac:dyDescent="0.2">
      <c r="A936" t="s">
        <v>1719</v>
      </c>
      <c r="B936" t="s">
        <v>1720</v>
      </c>
      <c r="C936">
        <v>70</v>
      </c>
      <c r="D936" t="s">
        <v>291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</row>
    <row r="937" spans="1:15" x14ac:dyDescent="0.2">
      <c r="A937" t="s">
        <v>1721</v>
      </c>
      <c r="B937" t="s">
        <v>1722</v>
      </c>
      <c r="C937">
        <v>30</v>
      </c>
      <c r="D937" t="s">
        <v>16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</row>
    <row r="938" spans="1:15" x14ac:dyDescent="0.2">
      <c r="A938" t="s">
        <v>1723</v>
      </c>
      <c r="B938" t="s">
        <v>1724</v>
      </c>
      <c r="C938">
        <v>2</v>
      </c>
      <c r="D938" t="s">
        <v>16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</row>
    <row r="939" spans="1:15" x14ac:dyDescent="0.2">
      <c r="A939" t="s">
        <v>1725</v>
      </c>
      <c r="B939" t="s">
        <v>1726</v>
      </c>
      <c r="C939">
        <v>1</v>
      </c>
      <c r="D939" t="s">
        <v>16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</row>
    <row r="940" spans="1:15" x14ac:dyDescent="0.2">
      <c r="A940" t="s">
        <v>1727</v>
      </c>
      <c r="B940" t="s">
        <v>1728</v>
      </c>
      <c r="C940">
        <v>1</v>
      </c>
      <c r="D940" t="s">
        <v>16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</row>
    <row r="941" spans="1:15" x14ac:dyDescent="0.2">
      <c r="A941" t="s">
        <v>1729</v>
      </c>
      <c r="B941" t="s">
        <v>1730</v>
      </c>
      <c r="C941">
        <v>1</v>
      </c>
      <c r="D941" t="s">
        <v>16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</row>
    <row r="942" spans="1:15" x14ac:dyDescent="0.2">
      <c r="A942" t="s">
        <v>1958</v>
      </c>
      <c r="B942" t="s">
        <v>1959</v>
      </c>
      <c r="C942">
        <v>500</v>
      </c>
      <c r="D942" t="s">
        <v>16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</row>
    <row r="943" spans="1:15" x14ac:dyDescent="0.2">
      <c r="A943" t="s">
        <v>1731</v>
      </c>
      <c r="B943" t="s">
        <v>1732</v>
      </c>
      <c r="C943">
        <v>75</v>
      </c>
      <c r="D943" t="s">
        <v>147</v>
      </c>
      <c r="E943">
        <v>1.5</v>
      </c>
      <c r="F943">
        <v>1</v>
      </c>
      <c r="G943">
        <v>1</v>
      </c>
      <c r="H943">
        <v>1</v>
      </c>
      <c r="I943">
        <v>1.25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</row>
    <row r="944" spans="1:15" x14ac:dyDescent="0.2">
      <c r="A944" t="s">
        <v>1733</v>
      </c>
      <c r="B944" t="s">
        <v>1734</v>
      </c>
      <c r="C944">
        <v>112</v>
      </c>
      <c r="D944" t="s">
        <v>16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</row>
    <row r="945" spans="1:15" x14ac:dyDescent="0.2">
      <c r="A945" t="s">
        <v>1960</v>
      </c>
      <c r="B945" t="s">
        <v>1961</v>
      </c>
      <c r="C945">
        <v>500</v>
      </c>
      <c r="D945" t="s">
        <v>16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</row>
    <row r="946" spans="1:15" x14ac:dyDescent="0.2">
      <c r="A946" t="s">
        <v>1735</v>
      </c>
      <c r="B946" t="s">
        <v>1736</v>
      </c>
      <c r="C946">
        <v>340</v>
      </c>
      <c r="D946" t="s">
        <v>544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1.2</v>
      </c>
      <c r="M946">
        <v>1</v>
      </c>
      <c r="N946">
        <v>1</v>
      </c>
      <c r="O946">
        <v>1</v>
      </c>
    </row>
    <row r="947" spans="1:15" x14ac:dyDescent="0.2">
      <c r="A947" t="s">
        <v>1737</v>
      </c>
      <c r="B947" t="s">
        <v>1738</v>
      </c>
      <c r="C947">
        <v>0</v>
      </c>
      <c r="D947" t="s">
        <v>16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</row>
    <row r="948" spans="1:15" x14ac:dyDescent="0.2">
      <c r="A948" t="s">
        <v>1739</v>
      </c>
      <c r="B948" t="s">
        <v>1740</v>
      </c>
      <c r="C948">
        <v>160</v>
      </c>
      <c r="D948" t="s">
        <v>155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1.2</v>
      </c>
    </row>
    <row r="949" spans="1:15" x14ac:dyDescent="0.2">
      <c r="A949" t="s">
        <v>1741</v>
      </c>
      <c r="B949" t="s">
        <v>1742</v>
      </c>
      <c r="C949">
        <v>370</v>
      </c>
      <c r="D949" t="s">
        <v>26</v>
      </c>
      <c r="E949">
        <v>1</v>
      </c>
      <c r="F949">
        <v>1.4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</row>
    <row r="950" spans="1:15" x14ac:dyDescent="0.2">
      <c r="A950" t="s">
        <v>1743</v>
      </c>
      <c r="B950" t="s">
        <v>1744</v>
      </c>
      <c r="C950">
        <v>30</v>
      </c>
      <c r="D950" t="s">
        <v>16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 Þorsteinsson</cp:lastModifiedBy>
  <dcterms:created xsi:type="dcterms:W3CDTF">2020-12-28T21:09:20Z</dcterms:created>
  <dcterms:modified xsi:type="dcterms:W3CDTF">2025-02-08T16:17:20Z</dcterms:modified>
</cp:coreProperties>
</file>